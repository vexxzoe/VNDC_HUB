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onth\Downloads\"/>
    </mc:Choice>
  </mc:AlternateContent>
  <xr:revisionPtr revIDLastSave="0" documentId="13_ncr:1_{52B68D60-6859-468E-8CCC-79AB5314B791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10 VP" sheetId="2" r:id="rId1"/>
    <sheet name="VP NewGen" sheetId="4" r:id="rId2"/>
    <sheet name="CTTV" sheetId="3" r:id="rId3"/>
  </sheets>
  <definedNames>
    <definedName name="_xlnm._FilterDatabase" localSheetId="0" hidden="1">'10 VP'!$B$5:$G$56</definedName>
    <definedName name="_xlnm._FilterDatabase" localSheetId="1" hidden="1">'VP NewGen'!$B$3:$F$11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1" i="2" l="1"/>
  <c r="B62" i="2"/>
  <c r="B63" i="2"/>
  <c r="A39" i="3" l="1"/>
  <c r="A38" i="3" l="1"/>
  <c r="A37" i="3"/>
  <c r="A36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B60" i="2" l="1"/>
  <c r="B59" i="2"/>
  <c r="B58" i="2"/>
  <c r="B11" i="4" l="1"/>
  <c r="B10" i="4"/>
  <c r="B9" i="4"/>
  <c r="B8" i="4"/>
  <c r="B7" i="4"/>
  <c r="B6" i="4"/>
  <c r="B5" i="4"/>
  <c r="B4" i="4"/>
</calcChain>
</file>

<file path=xl/sharedStrings.xml><?xml version="1.0" encoding="utf-8"?>
<sst xmlns="http://schemas.openxmlformats.org/spreadsheetml/2006/main" count="575" uniqueCount="341">
  <si>
    <t>STT</t>
  </si>
  <si>
    <t>CTTV</t>
  </si>
  <si>
    <t>VPKV</t>
  </si>
  <si>
    <t>Địa chỉ</t>
  </si>
  <si>
    <t>Hà Nội</t>
  </si>
  <si>
    <t>Inch</t>
  </si>
  <si>
    <t>Hãng tivi</t>
  </si>
  <si>
    <t>Đồng Nai</t>
  </si>
  <si>
    <t>Long Thành</t>
  </si>
  <si>
    <t>Trảng Bom</t>
  </si>
  <si>
    <t>Vĩnh Cửu</t>
  </si>
  <si>
    <t>Tân Phú</t>
  </si>
  <si>
    <t>Gia Định</t>
  </si>
  <si>
    <t>Củ Chi</t>
  </si>
  <si>
    <t>Hải Phòng</t>
  </si>
  <si>
    <t>An Lão</t>
  </si>
  <si>
    <t>An Dương</t>
  </si>
  <si>
    <t>Thủy Nguyên</t>
  </si>
  <si>
    <t>Vĩnh Bảo</t>
  </si>
  <si>
    <t>Thái Bình</t>
  </si>
  <si>
    <t>Tiền Hải</t>
  </si>
  <si>
    <t>Đông Hưng</t>
  </si>
  <si>
    <t>Thái Thụy</t>
  </si>
  <si>
    <t>KD</t>
  </si>
  <si>
    <t>Lô B4 đường Lê Duẩn, xã Long Thành, tỉnh Đồng Nai</t>
  </si>
  <si>
    <t>Số 308 Hùng Vương, khu phố 3, xã Trảng Bom, tỉnh Đồng Nai</t>
  </si>
  <si>
    <t>Số 10 Nguyễn Tất Thành, xã Trị An, tỉnh Đồng Nai</t>
  </si>
  <si>
    <t>Số 1260 ấp Ngọc Lâm, xã Tân Phú, tỉnh Đồng Nai</t>
  </si>
  <si>
    <t>Số 627, quốc lộ 22, xã Tân An Hội, TP Hồ Chí Minh</t>
  </si>
  <si>
    <t>Số 35-37 Nguyễn Chuyên Mỹ, xã An Lão, TP Hải Phòng</t>
  </si>
  <si>
    <t>Số 844 Máng Nước, phường An Hải, TP Hải Phòng</t>
  </si>
  <si>
    <t>Số 90 Bạch Đằng, phường Thuỷ Nguyên, TP Hải Phòng</t>
  </si>
  <si>
    <t>Số 30 khu phố Tân Hoà, xã Vĩnh Bảo, TP Hải Phòng</t>
  </si>
  <si>
    <t>K40, xóm 6, xã Đông Hưng, tỉnh Hưng Yên</t>
  </si>
  <si>
    <t>Đường Cách Mạng Tháng Tám, thôn Bao Trình, xã Thái Thụy, tỉnh Hưng Yên</t>
  </si>
  <si>
    <t>Số 105 Vũ Trọng, xã Tiền Hải, tỉnh Hưng Yên</t>
  </si>
  <si>
    <t>VP Công ty (94 Bà Triệu)</t>
  </si>
  <si>
    <t>Nam Định</t>
  </si>
  <si>
    <t>Giao Thủy</t>
  </si>
  <si>
    <t>Hải Hậu</t>
  </si>
  <si>
    <t>Nghĩa Hưng</t>
  </si>
  <si>
    <t>Ý Yên</t>
  </si>
  <si>
    <t>Xuân Trường</t>
  </si>
  <si>
    <t>Đà Nẵng</t>
  </si>
  <si>
    <t>Hòa Vang</t>
  </si>
  <si>
    <t>Cẩm Lệ</t>
  </si>
  <si>
    <t>Liên Chiểu</t>
  </si>
  <si>
    <t>Quảng Nam</t>
  </si>
  <si>
    <t>Đại Lộc</t>
  </si>
  <si>
    <t>Điện Bàn</t>
  </si>
  <si>
    <t>Duy Xuyên</t>
  </si>
  <si>
    <t>Núi Thành</t>
  </si>
  <si>
    <t>Đường Quảng Xương, thôn Túy Loan Tây, xã Hòa Vang, TP Đà Nẵng</t>
  </si>
  <si>
    <t>Số 293 Văn Tiến Dũng, phường Hòa Xuân, TP Đà Nẵng</t>
  </si>
  <si>
    <t>Số 110 Nam Trân, phường Hoà Khánh, TP Đà Nẵng</t>
  </si>
  <si>
    <t>Quốc lộ 37B, xã Giao Thủy, tỉnh Ninh Bình</t>
  </si>
  <si>
    <t>Số 234 đường 19/5, xã Hải Hậu, tỉnh Ninh Bình</t>
  </si>
  <si>
    <t>Số 3 Phạm Văn Đồng, xã Nghĩa Hưng, tỉnh Ninh Bình</t>
  </si>
  <si>
    <t>Tổ 8, ngã tư phố Cháy, xã Ý Yên, tỉnh Ninh Bình</t>
  </si>
  <si>
    <t>Số 338 xã Xuân Trường, tỉnh Ninh Bình</t>
  </si>
  <si>
    <t>Số 47 Phạm Văn Đồng, xã Đại Lộc, TP Đà Nẵng</t>
  </si>
  <si>
    <t>Số 39 Lý Thái Tổ, phường An Thắng, TP Đà Nẵng</t>
  </si>
  <si>
    <t>Số 398 Hùng Vương, xã Duy Xuyên, TP Đà Nẵng</t>
  </si>
  <si>
    <t>Số 347 Phạm Văn Đồng, xã Núi Thành, TP Đà Nẵng</t>
  </si>
  <si>
    <t>Cần Thơ</t>
  </si>
  <si>
    <t>Phong Điền</t>
  </si>
  <si>
    <t>Thốt Nốt</t>
  </si>
  <si>
    <t>A1-5 Phan Văn Trị, ấp Thị Tứ, xã Phong Điền, TP Cần Thơ</t>
  </si>
  <si>
    <t>Số 515 QL91, KV Long Thạnh, phường Thốt Nốt, TP Cần Thơ</t>
  </si>
  <si>
    <t>Thừa Thiên Huế</t>
  </si>
  <si>
    <t>Hương Trà</t>
  </si>
  <si>
    <t>Hương Thủy</t>
  </si>
  <si>
    <t>Phú Lộc</t>
  </si>
  <si>
    <t>TP Huế</t>
  </si>
  <si>
    <t>Số 30A Cách Mạng Tháng Tám, phường Hương Trà, TP Huế</t>
  </si>
  <si>
    <t>Số 1102 Nguyễn Tất Thành, phường Phú Bài, tỉnh Thừa Thiên Huế</t>
  </si>
  <si>
    <t>Số 231 Lý Thánh Tông, xã Phú Lộc, TP Huế</t>
  </si>
  <si>
    <t>Số 23 Phò Trạch, phường Phong Điền, TP Huế</t>
  </si>
  <si>
    <t>Số 62 Tố Hữu, phường Vỹ Dạ, TP Huế</t>
  </si>
  <si>
    <t>Số 94 Bà Triệu, Phường Cửa Nam, thành phố Hà Nội</t>
  </si>
  <si>
    <t>Long Khánh</t>
  </si>
  <si>
    <t>PHỤ LỤC: THÔNG TIN, ĐỊA CHỈ 08 VPKV NEWGEN</t>
  </si>
  <si>
    <t>TÊN VP</t>
  </si>
  <si>
    <t>NewGen TSC</t>
  </si>
  <si>
    <t>NewGen Tràng An</t>
  </si>
  <si>
    <t>NewGen Gia Định</t>
  </si>
  <si>
    <t>NewGen Đà Nẵng</t>
  </si>
  <si>
    <t>NewGen Quảng Ninh</t>
  </si>
  <si>
    <t>NewGen Hồ Chí Minh 02</t>
  </si>
  <si>
    <t>Trung tân Kinh doanh HCM</t>
  </si>
  <si>
    <t>141 tổ 3, xã Đông Anh, TP Hà Nội</t>
  </si>
  <si>
    <t>55 Tô Ký, phường Trung Mỹ Tây, TP Hồ Chí Minh</t>
  </si>
  <si>
    <t>364 Lê Văn Hiến, phường Ngũ Hành Sơn, TP Đà Nẵng</t>
  </si>
  <si>
    <t xml:space="preserve"> Tổ 46, khu 3, đường 25/4, phường Hồng Gai, tỉnh Quảng Ninh</t>
  </si>
  <si>
    <t>Tòa nhà Serepok, số 84 Huỳnh Văn Bánh, phường Cầu Kiệu, TP Hồ Chí Minh</t>
  </si>
  <si>
    <t>500 đường 3/2 phường Diên Hồng, TP Hồ Chí Minh</t>
  </si>
  <si>
    <t xml:space="preserve"> 83 Lý Thường Kiệt, phường Cửa Nam, TP Hà Nội</t>
  </si>
  <si>
    <t>SamSung/Sony</t>
  </si>
  <si>
    <t xml:space="preserve">NewGen Sài Gòn </t>
  </si>
  <si>
    <t>Số 233 Đồng Khởi, phường Sài Gòn, TP Hồ Chí Minh.</t>
  </si>
  <si>
    <t>B. VĂN PHÒNG NEWGEN (Các Văn Phòng dự kiến đi vào hoạt động trước 31/12)</t>
  </si>
  <si>
    <t>TCT</t>
  </si>
  <si>
    <t>Quảng Ninh</t>
  </si>
  <si>
    <t>Cán bộ hỗ trợ</t>
  </si>
  <si>
    <t>Thông tin liên hệ</t>
  </si>
  <si>
    <t>Lê Quang Trung</t>
  </si>
  <si>
    <t>0945437232</t>
  </si>
  <si>
    <t>Phan Thanh Nam</t>
  </si>
  <si>
    <t>0983135360</t>
  </si>
  <si>
    <t>0344722850</t>
  </si>
  <si>
    <t>Phạm Minh Tuân</t>
  </si>
  <si>
    <t>Đoàn Quang Việt</t>
  </si>
  <si>
    <t>0945989689</t>
  </si>
  <si>
    <t>Trần Ngọc Phước Bảo</t>
  </si>
  <si>
    <t>096 7877181</t>
  </si>
  <si>
    <t>Hoàng Quang Hưng/ Phạm Quang Thiện</t>
  </si>
  <si>
    <t>0904653737/0912637186/0865763283</t>
  </si>
  <si>
    <t>0989238521</t>
  </si>
  <si>
    <t>Ngô Thành Chính</t>
  </si>
  <si>
    <t>Đào Thị Hồng Nhung</t>
  </si>
  <si>
    <t>0917650858</t>
  </si>
  <si>
    <t>0935979575</t>
  </si>
  <si>
    <t>Nguyễn Đại Quốc Anh</t>
  </si>
  <si>
    <t>Nguyễn Liên Hòa</t>
  </si>
  <si>
    <t>Trịnh Sơn</t>
  </si>
  <si>
    <t>Mã thiết bị</t>
  </si>
  <si>
    <t>bvnt9801</t>
  </si>
  <si>
    <t>bvnt7356</t>
  </si>
  <si>
    <t>bvnt2196</t>
  </si>
  <si>
    <t>bvnt7471</t>
  </si>
  <si>
    <t>bvnt5553</t>
  </si>
  <si>
    <t>bvnt3964</t>
  </si>
  <si>
    <t>0963626811</t>
  </si>
  <si>
    <t>bvnt4906</t>
  </si>
  <si>
    <t>bvnt6004</t>
  </si>
  <si>
    <t>bvnt1833</t>
  </si>
  <si>
    <t>bvnt2698</t>
  </si>
  <si>
    <t>bvnt2374</t>
  </si>
  <si>
    <t>bvnt1262</t>
  </si>
  <si>
    <t>bvnt4963</t>
  </si>
  <si>
    <t>bvnt7677</t>
  </si>
  <si>
    <t>bvnt9292</t>
  </si>
  <si>
    <t>bvnt8480</t>
  </si>
  <si>
    <t>bvnt4983</t>
  </si>
  <si>
    <t>bvnt2192</t>
  </si>
  <si>
    <t>bvnt4746</t>
  </si>
  <si>
    <t>bvnt3856</t>
  </si>
  <si>
    <t>bvnt6553</t>
  </si>
  <si>
    <t>bvnt3976</t>
  </si>
  <si>
    <t>bvnt6413</t>
  </si>
  <si>
    <t>bvnt1323</t>
  </si>
  <si>
    <t>bvnt5429</t>
  </si>
  <si>
    <t>bvnt5291</t>
  </si>
  <si>
    <t>bvnt8160</t>
  </si>
  <si>
    <t>bvnt1573</t>
  </si>
  <si>
    <t>bvnt4923</t>
  </si>
  <si>
    <t>bvnt9158</t>
  </si>
  <si>
    <t>bvnt2362</t>
  </si>
  <si>
    <t>bvnt4707</t>
  </si>
  <si>
    <t>Tô Thị Thảo Vy</t>
  </si>
  <si>
    <t>098 3641414</t>
  </si>
  <si>
    <t>Tài khoản</t>
  </si>
  <si>
    <t>Pass</t>
  </si>
  <si>
    <t>bvntcantho</t>
  </si>
  <si>
    <t>Baoviet123@</t>
  </si>
  <si>
    <t>bvntdanang</t>
  </si>
  <si>
    <t>bvnthue</t>
  </si>
  <si>
    <t>Keang Nam- Hà Nội</t>
  </si>
  <si>
    <t>VP TCT (tầng 36)</t>
  </si>
  <si>
    <t>bvnt4295</t>
  </si>
  <si>
    <t>bvnt6854</t>
  </si>
  <si>
    <t>bvntdongnai</t>
  </si>
  <si>
    <t>bvntgiadinh</t>
  </si>
  <si>
    <t>bvnthaiphong</t>
  </si>
  <si>
    <t>bvntlongkhanh</t>
  </si>
  <si>
    <t>bvntnamdinh</t>
  </si>
  <si>
    <t>bvntquangnam</t>
  </si>
  <si>
    <t>bvntthaibinh</t>
  </si>
  <si>
    <t>newgen</t>
  </si>
  <si>
    <t>VP Công ty</t>
  </si>
  <si>
    <t>Số 158E, đường Trường Chinh, phường Bảy hiền, TP HCM</t>
  </si>
  <si>
    <t>SĐT (CB trực VP)</t>
  </si>
  <si>
    <t>Họ Tên</t>
  </si>
  <si>
    <t>SĐT</t>
  </si>
  <si>
    <t>Đông Anh</t>
  </si>
  <si>
    <t>Tràng An</t>
  </si>
  <si>
    <t>Đà nẵng</t>
  </si>
  <si>
    <t>TTKD</t>
  </si>
  <si>
    <t>Cầu Kiệu</t>
  </si>
  <si>
    <t>Đống Đa</t>
  </si>
  <si>
    <t>Tầng 11, tòa nhà 14 Láng Hạ, phường Giảng Võ, TP Hà Nội</t>
  </si>
  <si>
    <t>Hoàng Quốc Việt</t>
  </si>
  <si>
    <t>Tòa nhà VET Building, số 98 Hoàng Quốc Việt, phường Nghĩa Đô, TP Hà Nội</t>
  </si>
  <si>
    <t>Hoàn Kiếm</t>
  </si>
  <si>
    <t>Tầng 2, tòa nhà Vinare, số 141 Lê Duẩn, phường Cửa Nam, TP Hà Nội</t>
  </si>
  <si>
    <t>Lò Đúc</t>
  </si>
  <si>
    <t>182A Lò Đúc, phường Hai Bà Trung, TP Hà Nội</t>
  </si>
  <si>
    <t>Sơn Tây</t>
  </si>
  <si>
    <t>Đan Phượng</t>
  </si>
  <si>
    <t>Khu cây sung, vệ lăng, xã Đan Phượng, TP Hà Nội</t>
  </si>
  <si>
    <t>Quốc Oai</t>
  </si>
  <si>
    <t>Khu đấu giá DG02, xã Quốc Oai, TP Hà Nội</t>
  </si>
  <si>
    <t>Căn 19, lô LKV-09, khu đô thị Hud, phường Sơn Tây, TP Hà Nội</t>
  </si>
  <si>
    <t>Thạch Thất</t>
  </si>
  <si>
    <t>Số 179 Đồng Cam, xã Thạch Thất, TP Hà Nội</t>
  </si>
  <si>
    <t>Sơn Đông</t>
  </si>
  <si>
    <t>Số 151 Tân Phú, xã Đoài Phương, TP Hà Nội</t>
  </si>
  <si>
    <t>Bình Dương</t>
  </si>
  <si>
    <t>Dĩ An</t>
  </si>
  <si>
    <t>Số 43 Đường K, Nhị Đồng 2, phường Dĩ An, TP Hồ Chí Minh</t>
  </si>
  <si>
    <t>Dầu Tiếng</t>
  </si>
  <si>
    <t>Số 139 Hùng Vương, khu phố 4B, xã Dầu Tiếng, TP HCM</t>
  </si>
  <si>
    <t>Tân Uyên</t>
  </si>
  <si>
    <t>Số 062/E1 đường DT 747, phường Tân Uyên, TP HCM</t>
  </si>
  <si>
    <t>Bắc Tân Uyên</t>
  </si>
  <si>
    <t>Số 846, đường DT 747, khu phố 1, phường Tân Đông Hiệp, TP HCM</t>
  </si>
  <si>
    <t>Bến Cát</t>
  </si>
  <si>
    <t>A4, Golden Center City, đại lộ Bình DƯơng, khu phố 3, phường Bến Cát, TP HCM</t>
  </si>
  <si>
    <t>Vĩnh Phúc</t>
  </si>
  <si>
    <t>Phúc Yên</t>
  </si>
  <si>
    <t>Số 7, tổ 5, phường Phúc Yên, tỉnh Phú Thọ</t>
  </si>
  <si>
    <t>Vĩnh Tường</t>
  </si>
  <si>
    <t>162 Lê Xoay, Xã Vĩnh Tường, Tỉnh Phú Thọ</t>
  </si>
  <si>
    <t>Yên Lạc</t>
  </si>
  <si>
    <t>114 Phạm Công Bình, xã Yên Lạc, tỉnh Phú Thọ</t>
  </si>
  <si>
    <t>Vĩnh Yên</t>
  </si>
  <si>
    <t>173 phố Chùa Hà, phường Vĩnh Yên, tỉnh Phú Thọ</t>
  </si>
  <si>
    <t>THÔNG TIN CÁN BỘ/NVVP TRỰC TẠI VPKV</t>
  </si>
  <si>
    <t>Thúc Tuân</t>
  </si>
  <si>
    <t>077 2333521</t>
  </si>
  <si>
    <t>Thưởng</t>
  </si>
  <si>
    <t>0966559437</t>
  </si>
  <si>
    <t>Tâm Thi</t>
  </si>
  <si>
    <t>0347.582.531</t>
  </si>
  <si>
    <t>Bùi Quang Thái</t>
  </si>
  <si>
    <t>0835912888</t>
  </si>
  <si>
    <t>0905550143</t>
  </si>
  <si>
    <t>Phúc</t>
  </si>
  <si>
    <t>Chị Trầm</t>
  </si>
  <si>
    <t>0362479696</t>
  </si>
  <si>
    <t>Phạm Tuân</t>
  </si>
  <si>
    <t>Chị Nhung</t>
  </si>
  <si>
    <t>0354788552</t>
  </si>
  <si>
    <t>Hoàng Thị Hoài</t>
  </si>
  <si>
    <t>0393405268</t>
  </si>
  <si>
    <t>Phạm Thu Ngân</t>
  </si>
  <si>
    <t>0943790488</t>
  </si>
  <si>
    <t>Trần Hoàng Nam</t>
  </si>
  <si>
    <t>0942624693</t>
  </si>
  <si>
    <t>Phạm Thanh Tùng</t>
  </si>
  <si>
    <t>0978488921</t>
  </si>
  <si>
    <t>Trịnh Xuân Sơn</t>
  </si>
  <si>
    <t>Nguyễn Ngọc Bính</t>
  </si>
  <si>
    <t>0976961588</t>
  </si>
  <si>
    <t xml:space="preserve">Hoàng Thị Thơm </t>
  </si>
  <si>
    <t>0973702060</t>
  </si>
  <si>
    <t>Tạ Thị Phượng</t>
  </si>
  <si>
    <t>0984064062</t>
  </si>
  <si>
    <t>Nguyễn Thị Bích Uyên</t>
  </si>
  <si>
    <t>0359301522</t>
  </si>
  <si>
    <t>Vũ Thị Thắm</t>
  </si>
  <si>
    <t>0852627688</t>
  </si>
  <si>
    <t>Trần Phúc Trường</t>
  </si>
  <si>
    <t>0898191556</t>
  </si>
  <si>
    <t>Lưu Thị Xuân Nương</t>
  </si>
  <si>
    <t>0935849991</t>
  </si>
  <si>
    <t>Nguyễn Thụy Thảo</t>
  </si>
  <si>
    <t>0965881357</t>
  </si>
  <si>
    <t>0988739726</t>
  </si>
  <si>
    <t>Nguyễn Anh Thư</t>
  </si>
  <si>
    <t>0383606003</t>
  </si>
  <si>
    <t>Đào Lan Anh</t>
  </si>
  <si>
    <t>Đặng Hữu Nam</t>
  </si>
  <si>
    <t>0705.091.693</t>
  </si>
  <si>
    <t>+84916361293</t>
  </si>
  <si>
    <t>Tuấn Đạt</t>
  </si>
  <si>
    <t>0385050679</t>
  </si>
  <si>
    <t>Anh Vương</t>
  </si>
  <si>
    <t>Khánh Ly</t>
  </si>
  <si>
    <t>076 6720697</t>
  </si>
  <si>
    <t>0353402897</t>
  </si>
  <si>
    <t>Yến</t>
  </si>
  <si>
    <t>0935.149.799</t>
  </si>
  <si>
    <t>Đặng Thị Lộc</t>
  </si>
  <si>
    <t>Anh Trân</t>
  </si>
  <si>
    <t>0935203105</t>
  </si>
  <si>
    <t>364 Lê Văn Hiến, Phường Ngũ Hành Sơn</t>
  </si>
  <si>
    <t>0788874333</t>
  </si>
  <si>
    <t>Kim Hoàng</t>
  </si>
  <si>
    <t>0945905906</t>
  </si>
  <si>
    <t>0982579231</t>
  </si>
  <si>
    <t>Nhật Dương</t>
  </si>
  <si>
    <t>Ngọc Hoàng</t>
  </si>
  <si>
    <t>+84333390168</t>
  </si>
  <si>
    <t>Phan Xuân Triết</t>
  </si>
  <si>
    <t>Thế Phước</t>
  </si>
  <si>
    <t>0393403987</t>
  </si>
  <si>
    <t>Phương Dung</t>
  </si>
  <si>
    <t>Lan Anh</t>
  </si>
  <si>
    <t>Phương Liên</t>
  </si>
  <si>
    <t>Tô Thảo</t>
  </si>
  <si>
    <t>0987732786</t>
  </si>
  <si>
    <t>0981573507</t>
  </si>
  <si>
    <t>0981309984</t>
  </si>
  <si>
    <t>0982271330</t>
  </si>
  <si>
    <t>0346216365</t>
  </si>
  <si>
    <t>Bùi Thị Nhung</t>
  </si>
  <si>
    <t>0344186093</t>
  </si>
  <si>
    <t>Ngô Thị Yên</t>
  </si>
  <si>
    <t>0976071995</t>
  </si>
  <si>
    <t>Nguyễn Thị Uyên</t>
  </si>
  <si>
    <t>Nguyễn Thị Thu Thảo</t>
  </si>
  <si>
    <t>0967841220</t>
  </si>
  <si>
    <t>Nguyễn Thị Bảo Hòa</t>
  </si>
  <si>
    <t>0939015178</t>
  </si>
  <si>
    <t>Nguyễn Quang Thành</t>
  </si>
  <si>
    <t>0327431034</t>
  </si>
  <si>
    <t>Nguyễn Huỳnh Đan Thanh</t>
  </si>
  <si>
    <t>0988820945</t>
  </si>
  <si>
    <t>0977190330</t>
  </si>
  <si>
    <t>Nguyễn Ngọc Như Thảo</t>
  </si>
  <si>
    <t>0355889384</t>
  </si>
  <si>
    <t>Nguyễn Thị Thơm</t>
  </si>
  <si>
    <t>Đặng Thị Trang</t>
  </si>
  <si>
    <t>0976832061</t>
  </si>
  <si>
    <t>Nguyễn Thị Hòa</t>
  </si>
  <si>
    <t>Tạ Thị Loan</t>
  </si>
  <si>
    <t>0375140196</t>
  </si>
  <si>
    <t>0978857788</t>
  </si>
  <si>
    <t>0396979786</t>
  </si>
  <si>
    <t>Trần Thị Quỳnh Thu</t>
  </si>
  <si>
    <t>ok</t>
  </si>
  <si>
    <t>đã nhắn zalo, chưa phản hồi</t>
  </si>
  <si>
    <t>chờ xác nhận kết bạn</t>
  </si>
  <si>
    <t>k có zalo</t>
  </si>
  <si>
    <t>đã gửi hướng dẫn qua zalo (sđt: 0333658718)</t>
  </si>
  <si>
    <t>đầu mối nghỉ việc rồi</t>
  </si>
  <si>
    <t>a Đạt đang nghỉ phép,hẹn qua tháng gọi lại hướng dẫn lắp box</t>
  </si>
  <si>
    <t>Thanh Nhàn</t>
  </si>
  <si>
    <t>0366328388</t>
  </si>
  <si>
    <t>0333658718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</si>
</sst>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name val="Times New Roman"/>
      <family val="1"/>
      <charset val="163"/>
    </font>
    <font>
      <sz val="11"/>
      <name val="Times New Roman"/>
      <family val="1"/>
      <charset val="163"/>
    </font>
    <font>
      <sz val="12"/>
      <name val="Times New Roman"/>
      <family val="1"/>
      <charset val="163"/>
    </font>
    <font>
      <sz val="10"/>
      <name val="Times New Roman"/>
      <family val="1"/>
      <charset val="163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  <charset val="163"/>
    </font>
    <font>
      <u/>
      <sz val="12"/>
      <color theme="10"/>
      <name val="Times New Roman"/>
      <family val="1"/>
      <charset val="163"/>
    </font>
    <font>
      <sz val="11"/>
      <color rgb="FFFF0000"/>
      <name val="Calibri"/>
      <family val="2"/>
      <scheme val="minor"/>
    </font>
    <font>
      <sz val="12"/>
      <color rgb="FFFF0000"/>
      <name val="Times New Roman"/>
      <family val="1"/>
    </font>
    <font>
      <sz val="12"/>
      <name val="Times New Roman"/>
      <family val="1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8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/>
    </xf>
    <xf numFmtId="0" fontId="5" fillId="5" borderId="1" xfId="0" quotePrefix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5" fillId="5" borderId="1" xfId="0" quotePrefix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1" xfId="0" quotePrefix="1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49" fontId="13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49" fontId="13" fillId="4" borderId="1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49" fontId="1" fillId="2" borderId="8" xfId="0" applyNumberFormat="1" applyFont="1" applyFill="1" applyBorder="1" applyAlignment="1">
      <alignment horizontal="center" vertical="center" wrapText="1"/>
    </xf>
    <xf numFmtId="49" fontId="1" fillId="2" borderId="9" xfId="0" applyNumberFormat="1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Baoviet123@" TargetMode="External"/><Relationship Id="rId3" Type="http://schemas.openxmlformats.org/officeDocument/2006/relationships/hyperlink" Target="mailto:Baoviet123@" TargetMode="External"/><Relationship Id="rId7" Type="http://schemas.openxmlformats.org/officeDocument/2006/relationships/hyperlink" Target="mailto:Baoviet123@" TargetMode="External"/><Relationship Id="rId12" Type="http://schemas.openxmlformats.org/officeDocument/2006/relationships/printerSettings" Target="../printerSettings/printerSettings3.bin"/><Relationship Id="rId2" Type="http://schemas.openxmlformats.org/officeDocument/2006/relationships/hyperlink" Target="mailto:Baoviet123@" TargetMode="External"/><Relationship Id="rId1" Type="http://schemas.openxmlformats.org/officeDocument/2006/relationships/hyperlink" Target="mailto:Baoviet123@" TargetMode="External"/><Relationship Id="rId6" Type="http://schemas.openxmlformats.org/officeDocument/2006/relationships/hyperlink" Target="mailto:Baoviet123@" TargetMode="External"/><Relationship Id="rId11" Type="http://schemas.openxmlformats.org/officeDocument/2006/relationships/hyperlink" Target="mailto:Baoviet123@" TargetMode="External"/><Relationship Id="rId5" Type="http://schemas.openxmlformats.org/officeDocument/2006/relationships/hyperlink" Target="mailto:Baoviet123@" TargetMode="External"/><Relationship Id="rId10" Type="http://schemas.openxmlformats.org/officeDocument/2006/relationships/hyperlink" Target="mailto:Baoviet123@" TargetMode="External"/><Relationship Id="rId4" Type="http://schemas.openxmlformats.org/officeDocument/2006/relationships/hyperlink" Target="mailto:Baoviet123@" TargetMode="External"/><Relationship Id="rId9" Type="http://schemas.openxmlformats.org/officeDocument/2006/relationships/hyperlink" Target="mailto:Baoviet123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Q64"/>
  <sheetViews>
    <sheetView showGridLines="0" tabSelected="1" zoomScale="80" zoomScaleNormal="80" workbookViewId="0">
      <pane ySplit="5" topLeftCell="A33" activePane="bottomLeft" state="frozen"/>
      <selection pane="bottomLeft" activeCell="D34" sqref="D34"/>
    </sheetView>
  </sheetViews>
  <sheetFormatPr defaultColWidth="9.109375" defaultRowHeight="15.6" x14ac:dyDescent="0.3"/>
  <cols>
    <col min="1" max="1" width="9.109375" style="8"/>
    <col min="2" max="2" width="9.33203125" style="9" customWidth="1"/>
    <col min="3" max="3" width="18.5546875" style="9" customWidth="1"/>
    <col min="4" max="4" width="20.44140625" style="9" customWidth="1"/>
    <col min="5" max="5" width="24" style="10" customWidth="1"/>
    <col min="6" max="6" width="24.5546875" style="9" customWidth="1"/>
    <col min="7" max="7" width="20.109375" style="9" customWidth="1"/>
    <col min="8" max="8" width="9.109375" style="8"/>
    <col min="9" max="9" width="16.6640625" style="8" customWidth="1"/>
    <col min="10" max="10" width="9.109375" style="55"/>
    <col min="11" max="11" width="10" style="8" bestFit="1" customWidth="1"/>
    <col min="12" max="16384" width="9.109375" style="8"/>
  </cols>
  <sheetData>
    <row r="1" spans="2:17" ht="26.25" customHeight="1" x14ac:dyDescent="0.3">
      <c r="B1" s="48" t="s">
        <v>227</v>
      </c>
      <c r="C1" s="48"/>
      <c r="D1" s="48"/>
      <c r="E1" s="48"/>
      <c r="F1" s="48"/>
      <c r="G1" s="49"/>
      <c r="H1" s="21"/>
      <c r="I1" s="21"/>
      <c r="J1" s="54"/>
      <c r="K1" s="21"/>
      <c r="L1" s="21"/>
      <c r="M1" s="21"/>
      <c r="N1" s="21"/>
      <c r="O1" s="21"/>
      <c r="P1" s="21"/>
      <c r="Q1" s="21"/>
    </row>
    <row r="2" spans="2:17" x14ac:dyDescent="0.3">
      <c r="H2" s="21"/>
      <c r="I2" s="21"/>
      <c r="J2" s="54"/>
      <c r="K2" s="21"/>
      <c r="L2" s="21"/>
      <c r="M2" s="21"/>
      <c r="N2" s="21"/>
      <c r="O2" s="21"/>
      <c r="P2" s="21"/>
      <c r="Q2" s="21"/>
    </row>
    <row r="3" spans="2:17" ht="37.5" customHeight="1" x14ac:dyDescent="0.3">
      <c r="B3" s="74" t="s">
        <v>0</v>
      </c>
      <c r="C3" s="72" t="s">
        <v>1</v>
      </c>
      <c r="D3" s="72" t="s">
        <v>2</v>
      </c>
      <c r="E3" s="70" t="s">
        <v>3</v>
      </c>
      <c r="F3" s="68" t="s">
        <v>181</v>
      </c>
      <c r="G3" s="69"/>
      <c r="H3" s="21"/>
      <c r="I3" s="21"/>
      <c r="J3" s="54"/>
      <c r="K3" s="21"/>
      <c r="L3" s="21"/>
      <c r="M3" s="21"/>
      <c r="N3" s="21"/>
      <c r="O3" s="21"/>
      <c r="P3" s="21"/>
      <c r="Q3" s="21"/>
    </row>
    <row r="4" spans="2:17" ht="27.75" customHeight="1" x14ac:dyDescent="0.3">
      <c r="B4" s="75"/>
      <c r="C4" s="73"/>
      <c r="D4" s="73"/>
      <c r="E4" s="71"/>
      <c r="F4" s="43" t="s">
        <v>182</v>
      </c>
      <c r="G4" s="43" t="s">
        <v>183</v>
      </c>
      <c r="H4" s="21"/>
      <c r="I4" s="21"/>
      <c r="J4" s="54"/>
      <c r="K4" s="21"/>
      <c r="L4" s="21"/>
      <c r="M4" s="21"/>
      <c r="N4" s="21"/>
      <c r="O4" s="21"/>
      <c r="P4" s="21"/>
      <c r="Q4" s="21"/>
    </row>
    <row r="5" spans="2:17" ht="12" customHeight="1" x14ac:dyDescent="0.3">
      <c r="B5" s="45"/>
      <c r="C5" s="46"/>
      <c r="D5" s="46"/>
      <c r="E5" s="47"/>
      <c r="F5" s="45"/>
      <c r="G5" s="45"/>
      <c r="H5" s="21"/>
      <c r="I5" s="21"/>
      <c r="J5" s="54"/>
      <c r="K5" s="21"/>
      <c r="L5" s="21"/>
      <c r="M5" s="21"/>
      <c r="N5" s="21"/>
      <c r="O5" s="21"/>
      <c r="P5" s="21"/>
      <c r="Q5" s="21"/>
    </row>
    <row r="6" spans="2:17" ht="42" customHeight="1" x14ac:dyDescent="0.3">
      <c r="B6" s="7">
        <v>1</v>
      </c>
      <c r="C6" s="5" t="s">
        <v>207</v>
      </c>
      <c r="D6" s="5" t="s">
        <v>208</v>
      </c>
      <c r="E6" s="44" t="s">
        <v>209</v>
      </c>
      <c r="F6" s="4" t="s">
        <v>313</v>
      </c>
      <c r="G6" s="51" t="s">
        <v>314</v>
      </c>
      <c r="H6" s="21" t="s">
        <v>331</v>
      </c>
      <c r="I6" s="21"/>
      <c r="J6" s="54"/>
      <c r="K6" s="21"/>
      <c r="L6" s="21"/>
      <c r="M6" s="21"/>
      <c r="N6" s="21"/>
      <c r="O6" s="21"/>
      <c r="P6" s="21"/>
      <c r="Q6" s="21"/>
    </row>
    <row r="7" spans="2:17" ht="42" customHeight="1" x14ac:dyDescent="0.3">
      <c r="B7" s="7">
        <v>2</v>
      </c>
      <c r="C7" s="5" t="s">
        <v>207</v>
      </c>
      <c r="D7" s="63" t="s">
        <v>210</v>
      </c>
      <c r="E7" s="44" t="s">
        <v>211</v>
      </c>
      <c r="F7" s="4" t="s">
        <v>317</v>
      </c>
      <c r="G7" s="51" t="s">
        <v>318</v>
      </c>
      <c r="H7" s="21" t="s">
        <v>331</v>
      </c>
      <c r="I7" s="21"/>
      <c r="J7" s="54"/>
      <c r="K7" s="21"/>
      <c r="L7" s="21"/>
      <c r="M7" s="21"/>
      <c r="N7" s="21"/>
      <c r="O7" s="21"/>
      <c r="P7" s="21"/>
      <c r="Q7" s="21"/>
    </row>
    <row r="8" spans="2:17" ht="42" customHeight="1" x14ac:dyDescent="0.3">
      <c r="B8" s="7">
        <v>3</v>
      </c>
      <c r="C8" s="5" t="s">
        <v>207</v>
      </c>
      <c r="D8" s="5" t="s">
        <v>212</v>
      </c>
      <c r="E8" s="44" t="s">
        <v>213</v>
      </c>
      <c r="F8" s="7" t="s">
        <v>315</v>
      </c>
      <c r="G8" s="50" t="s">
        <v>316</v>
      </c>
      <c r="H8" s="21" t="s">
        <v>331</v>
      </c>
      <c r="I8" s="21"/>
      <c r="J8" s="54"/>
      <c r="K8" s="21"/>
      <c r="L8" s="21"/>
      <c r="M8" s="21"/>
      <c r="N8" s="21"/>
      <c r="O8" s="21"/>
      <c r="P8" s="21"/>
      <c r="Q8" s="21"/>
    </row>
    <row r="9" spans="2:17" ht="42" customHeight="1" x14ac:dyDescent="0.3">
      <c r="B9" s="7">
        <v>4</v>
      </c>
      <c r="C9" s="5" t="s">
        <v>207</v>
      </c>
      <c r="D9" s="63" t="s">
        <v>214</v>
      </c>
      <c r="E9" s="44" t="s">
        <v>215</v>
      </c>
      <c r="F9" s="4" t="s">
        <v>311</v>
      </c>
      <c r="G9" s="51" t="s">
        <v>312</v>
      </c>
      <c r="H9" s="21" t="s">
        <v>331</v>
      </c>
      <c r="I9" s="21"/>
      <c r="J9" s="54"/>
      <c r="K9" s="21"/>
      <c r="L9" s="21"/>
      <c r="M9" s="21"/>
      <c r="N9" s="21"/>
      <c r="O9" s="21"/>
      <c r="P9" s="21"/>
      <c r="Q9" s="21"/>
    </row>
    <row r="10" spans="2:17" ht="42" customHeight="1" x14ac:dyDescent="0.3">
      <c r="B10" s="7">
        <v>5</v>
      </c>
      <c r="C10" s="5" t="s">
        <v>207</v>
      </c>
      <c r="D10" s="63" t="s">
        <v>216</v>
      </c>
      <c r="E10" s="44" t="s">
        <v>217</v>
      </c>
      <c r="F10" s="4" t="s">
        <v>320</v>
      </c>
      <c r="G10" s="51" t="s">
        <v>319</v>
      </c>
      <c r="H10" s="21" t="s">
        <v>333</v>
      </c>
      <c r="I10" s="21"/>
      <c r="J10" s="54"/>
      <c r="K10" s="21"/>
      <c r="L10" s="21"/>
      <c r="M10" s="21"/>
      <c r="N10" s="21"/>
      <c r="O10" s="21"/>
      <c r="P10" s="21"/>
      <c r="Q10" s="21"/>
    </row>
    <row r="11" spans="2:17" ht="42" customHeight="1" x14ac:dyDescent="0.3">
      <c r="B11" s="7">
        <v>6</v>
      </c>
      <c r="C11" s="5" t="s">
        <v>64</v>
      </c>
      <c r="D11" s="5" t="s">
        <v>65</v>
      </c>
      <c r="E11" s="6" t="s">
        <v>67</v>
      </c>
      <c r="F11" s="7" t="s">
        <v>123</v>
      </c>
      <c r="G11" s="50" t="s">
        <v>287</v>
      </c>
      <c r="H11" s="21" t="s">
        <v>331</v>
      </c>
      <c r="I11" s="21"/>
      <c r="J11" s="54"/>
      <c r="K11" s="21"/>
      <c r="L11" s="21"/>
      <c r="M11" s="21"/>
      <c r="N11" s="21"/>
      <c r="O11" s="21"/>
      <c r="P11" s="21"/>
      <c r="Q11" s="21"/>
    </row>
    <row r="12" spans="2:17" ht="42" customHeight="1" x14ac:dyDescent="0.3">
      <c r="B12" s="7">
        <v>7</v>
      </c>
      <c r="C12" s="5" t="s">
        <v>64</v>
      </c>
      <c r="D12" s="5" t="s">
        <v>66</v>
      </c>
      <c r="E12" s="6" t="s">
        <v>68</v>
      </c>
      <c r="F12" s="7" t="s">
        <v>288</v>
      </c>
      <c r="G12" s="50" t="s">
        <v>289</v>
      </c>
      <c r="H12" s="21" t="s">
        <v>331</v>
      </c>
      <c r="I12" s="21"/>
      <c r="J12" s="54"/>
      <c r="K12" s="21"/>
      <c r="L12" s="21"/>
      <c r="M12" s="21"/>
      <c r="N12" s="21"/>
      <c r="O12" s="21"/>
      <c r="P12" s="21"/>
      <c r="Q12" s="21"/>
    </row>
    <row r="13" spans="2:17" ht="42" customHeight="1" x14ac:dyDescent="0.3">
      <c r="B13" s="7">
        <v>8</v>
      </c>
      <c r="C13" s="5" t="s">
        <v>43</v>
      </c>
      <c r="D13" s="63" t="s">
        <v>44</v>
      </c>
      <c r="E13" s="6" t="s">
        <v>52</v>
      </c>
      <c r="F13" s="4" t="s">
        <v>278</v>
      </c>
      <c r="G13" s="51" t="s">
        <v>279</v>
      </c>
      <c r="H13" s="21" t="s">
        <v>331</v>
      </c>
      <c r="I13" s="21"/>
      <c r="J13" s="54"/>
      <c r="K13" s="21"/>
      <c r="L13" s="21"/>
      <c r="M13" s="21"/>
      <c r="N13" s="21"/>
      <c r="O13" s="21"/>
      <c r="P13" s="21"/>
      <c r="Q13" s="21"/>
    </row>
    <row r="14" spans="2:17" ht="42" customHeight="1" x14ac:dyDescent="0.3">
      <c r="B14" s="7">
        <v>9</v>
      </c>
      <c r="C14" s="60" t="s">
        <v>43</v>
      </c>
      <c r="D14" s="65" t="s">
        <v>45</v>
      </c>
      <c r="E14" s="57" t="s">
        <v>53</v>
      </c>
      <c r="F14" s="56" t="s">
        <v>281</v>
      </c>
      <c r="G14" s="58" t="s">
        <v>280</v>
      </c>
      <c r="H14" s="59" t="s">
        <v>331</v>
      </c>
      <c r="I14" s="21"/>
      <c r="J14" s="54"/>
      <c r="K14" s="21"/>
      <c r="L14" s="21"/>
      <c r="M14" s="21"/>
      <c r="N14" s="21"/>
      <c r="O14" s="21"/>
      <c r="P14" s="21"/>
      <c r="Q14" s="21"/>
    </row>
    <row r="15" spans="2:17" ht="42" customHeight="1" x14ac:dyDescent="0.3">
      <c r="B15" s="7">
        <v>10</v>
      </c>
      <c r="C15" s="5" t="s">
        <v>43</v>
      </c>
      <c r="D15" s="63" t="s">
        <v>46</v>
      </c>
      <c r="E15" s="6" t="s">
        <v>54</v>
      </c>
      <c r="F15" s="4" t="s">
        <v>283</v>
      </c>
      <c r="G15" s="51" t="s">
        <v>282</v>
      </c>
      <c r="H15" s="21" t="s">
        <v>332</v>
      </c>
      <c r="I15" s="21"/>
      <c r="J15" s="54"/>
      <c r="K15" s="21"/>
      <c r="L15" s="21"/>
      <c r="M15" s="21"/>
      <c r="N15" s="21"/>
      <c r="O15" s="21"/>
      <c r="P15" s="21"/>
      <c r="Q15" s="21"/>
    </row>
    <row r="16" spans="2:17" ht="42" customHeight="1" x14ac:dyDescent="0.3">
      <c r="B16" s="7">
        <v>11</v>
      </c>
      <c r="C16" s="4" t="s">
        <v>7</v>
      </c>
      <c r="D16" s="64" t="s">
        <v>8</v>
      </c>
      <c r="E16" s="6" t="s">
        <v>24</v>
      </c>
      <c r="F16" s="4" t="s">
        <v>295</v>
      </c>
      <c r="G16" s="51" t="s">
        <v>296</v>
      </c>
      <c r="H16" s="21" t="s">
        <v>331</v>
      </c>
      <c r="I16" s="21"/>
      <c r="J16" s="54"/>
      <c r="K16" s="21"/>
      <c r="L16" s="21"/>
      <c r="M16" s="21"/>
      <c r="N16" s="21"/>
      <c r="O16" s="21"/>
      <c r="P16" s="21"/>
      <c r="Q16" s="21"/>
    </row>
    <row r="17" spans="2:17" ht="42" customHeight="1" x14ac:dyDescent="0.3">
      <c r="B17" s="7">
        <v>12</v>
      </c>
      <c r="C17" s="4" t="s">
        <v>7</v>
      </c>
      <c r="D17" s="64" t="s">
        <v>10</v>
      </c>
      <c r="E17" s="6" t="s">
        <v>26</v>
      </c>
      <c r="F17" s="4" t="s">
        <v>291</v>
      </c>
      <c r="G17" s="51" t="s">
        <v>290</v>
      </c>
      <c r="H17" s="21" t="s">
        <v>331</v>
      </c>
      <c r="I17" s="21"/>
      <c r="J17" s="54"/>
      <c r="K17" s="21"/>
      <c r="L17" s="21"/>
      <c r="M17" s="21"/>
      <c r="N17" s="21"/>
      <c r="O17" s="21"/>
      <c r="P17" s="21"/>
      <c r="Q17" s="21"/>
    </row>
    <row r="18" spans="2:17" ht="42" customHeight="1" x14ac:dyDescent="0.3">
      <c r="B18" s="7">
        <v>13</v>
      </c>
      <c r="C18" s="4" t="s">
        <v>12</v>
      </c>
      <c r="D18" s="4" t="s">
        <v>13</v>
      </c>
      <c r="E18" s="6" t="s">
        <v>28</v>
      </c>
      <c r="F18" s="4" t="s">
        <v>238</v>
      </c>
      <c r="G18" s="51" t="s">
        <v>239</v>
      </c>
      <c r="H18" s="21" t="s">
        <v>331</v>
      </c>
      <c r="I18" s="21"/>
      <c r="J18" s="54"/>
      <c r="K18" s="21"/>
      <c r="L18" s="21"/>
      <c r="M18" s="21"/>
      <c r="N18" s="21"/>
      <c r="O18" s="21"/>
      <c r="P18" s="21"/>
      <c r="Q18" s="21"/>
    </row>
    <row r="19" spans="2:17" ht="42" customHeight="1" x14ac:dyDescent="0.3">
      <c r="B19" s="7">
        <v>14</v>
      </c>
      <c r="C19" s="4" t="s">
        <v>12</v>
      </c>
      <c r="D19" s="5" t="s">
        <v>179</v>
      </c>
      <c r="E19" s="6" t="s">
        <v>180</v>
      </c>
      <c r="F19" s="4" t="s">
        <v>240</v>
      </c>
      <c r="G19" s="51" t="s">
        <v>109</v>
      </c>
      <c r="H19" s="21" t="s">
        <v>331</v>
      </c>
      <c r="I19" s="21"/>
      <c r="J19" s="54"/>
      <c r="K19" s="21"/>
      <c r="L19" s="21"/>
      <c r="M19" s="21"/>
      <c r="N19" s="21"/>
      <c r="O19" s="21"/>
      <c r="P19" s="21"/>
      <c r="Q19" s="21"/>
    </row>
    <row r="20" spans="2:17" ht="42" customHeight="1" x14ac:dyDescent="0.3">
      <c r="B20" s="7">
        <v>15</v>
      </c>
      <c r="C20" s="4" t="s">
        <v>4</v>
      </c>
      <c r="D20" s="4" t="s">
        <v>189</v>
      </c>
      <c r="E20" s="6" t="s">
        <v>190</v>
      </c>
      <c r="F20" s="4" t="s">
        <v>243</v>
      </c>
      <c r="G20" s="51" t="s">
        <v>244</v>
      </c>
      <c r="H20" s="21" t="s">
        <v>331</v>
      </c>
      <c r="I20" s="21"/>
      <c r="J20" s="54"/>
      <c r="K20" s="21"/>
      <c r="L20" s="21"/>
      <c r="M20" s="21"/>
      <c r="N20" s="21"/>
      <c r="O20" s="21"/>
      <c r="P20" s="21"/>
      <c r="Q20" s="21"/>
    </row>
    <row r="21" spans="2:17" ht="42" customHeight="1" x14ac:dyDescent="0.3">
      <c r="B21" s="7">
        <v>16</v>
      </c>
      <c r="C21" s="4" t="s">
        <v>4</v>
      </c>
      <c r="D21" s="4" t="s">
        <v>191</v>
      </c>
      <c r="E21" s="6" t="s">
        <v>192</v>
      </c>
      <c r="F21" s="4" t="s">
        <v>245</v>
      </c>
      <c r="G21" s="51" t="s">
        <v>246</v>
      </c>
      <c r="H21" s="21" t="s">
        <v>331</v>
      </c>
      <c r="I21" s="21"/>
      <c r="J21" s="54"/>
      <c r="K21" s="21"/>
      <c r="L21" s="21"/>
      <c r="M21" s="21"/>
      <c r="N21" s="21"/>
      <c r="O21" s="21"/>
      <c r="P21" s="21"/>
      <c r="Q21" s="21"/>
    </row>
    <row r="22" spans="2:17" ht="42" customHeight="1" x14ac:dyDescent="0.3">
      <c r="B22" s="7">
        <v>17</v>
      </c>
      <c r="C22" s="56" t="s">
        <v>4</v>
      </c>
      <c r="D22" s="56" t="s">
        <v>193</v>
      </c>
      <c r="E22" s="57" t="s">
        <v>194</v>
      </c>
      <c r="F22" s="56" t="s">
        <v>247</v>
      </c>
      <c r="G22" s="58" t="s">
        <v>248</v>
      </c>
      <c r="H22" s="59" t="s">
        <v>331</v>
      </c>
      <c r="I22" s="21"/>
      <c r="J22" s="54"/>
      <c r="K22" s="21"/>
      <c r="L22" s="21"/>
      <c r="M22" s="21"/>
      <c r="N22" s="21"/>
      <c r="O22" s="21"/>
      <c r="P22" s="21"/>
      <c r="Q22" s="21"/>
    </row>
    <row r="23" spans="2:17" ht="42" customHeight="1" x14ac:dyDescent="0.3">
      <c r="B23" s="7">
        <v>18</v>
      </c>
      <c r="C23" s="4" t="s">
        <v>4</v>
      </c>
      <c r="D23" s="4" t="s">
        <v>195</v>
      </c>
      <c r="E23" s="6" t="s">
        <v>196</v>
      </c>
      <c r="F23" s="4" t="s">
        <v>249</v>
      </c>
      <c r="G23" s="51" t="s">
        <v>250</v>
      </c>
      <c r="H23" s="21" t="s">
        <v>331</v>
      </c>
      <c r="I23" s="21"/>
      <c r="J23" s="54"/>
      <c r="K23" s="21"/>
      <c r="L23" s="21"/>
      <c r="M23" s="21"/>
      <c r="N23" s="21"/>
      <c r="O23" s="21"/>
      <c r="P23" s="21"/>
      <c r="Q23" s="21"/>
    </row>
    <row r="24" spans="2:17" ht="38.25" customHeight="1" x14ac:dyDescent="0.3">
      <c r="B24" s="7">
        <v>19</v>
      </c>
      <c r="C24" s="56" t="s">
        <v>4</v>
      </c>
      <c r="D24" s="56" t="s">
        <v>36</v>
      </c>
      <c r="E24" s="57" t="s">
        <v>79</v>
      </c>
      <c r="F24" s="56" t="s">
        <v>251</v>
      </c>
      <c r="G24" s="58" t="s">
        <v>132</v>
      </c>
      <c r="H24" s="59" t="s">
        <v>331</v>
      </c>
      <c r="I24" s="21"/>
      <c r="J24" s="54"/>
      <c r="K24" s="21"/>
      <c r="L24" s="21"/>
      <c r="M24" s="21"/>
      <c r="N24" s="21"/>
      <c r="O24" s="21"/>
      <c r="P24" s="21"/>
      <c r="Q24" s="21"/>
    </row>
    <row r="25" spans="2:17" ht="38.25" customHeight="1" x14ac:dyDescent="0.3">
      <c r="B25" s="7">
        <v>20</v>
      </c>
      <c r="C25" s="5" t="s">
        <v>14</v>
      </c>
      <c r="D25" s="63" t="s">
        <v>15</v>
      </c>
      <c r="E25" s="6" t="s">
        <v>29</v>
      </c>
      <c r="F25" s="4" t="s">
        <v>269</v>
      </c>
      <c r="G25" s="51" t="s">
        <v>268</v>
      </c>
      <c r="H25" s="21" t="s">
        <v>331</v>
      </c>
      <c r="I25" s="21"/>
      <c r="J25" s="54"/>
      <c r="K25" s="21"/>
      <c r="L25" s="21"/>
      <c r="M25" s="21"/>
      <c r="N25" s="21"/>
      <c r="O25" s="21"/>
      <c r="P25" s="21"/>
      <c r="Q25" s="21"/>
    </row>
    <row r="26" spans="2:17" ht="38.25" customHeight="1" x14ac:dyDescent="0.3">
      <c r="B26" s="7">
        <v>21</v>
      </c>
      <c r="C26" s="5" t="s">
        <v>14</v>
      </c>
      <c r="D26" s="63" t="s">
        <v>16</v>
      </c>
      <c r="E26" s="6" t="s">
        <v>30</v>
      </c>
      <c r="F26" s="4" t="s">
        <v>272</v>
      </c>
      <c r="G26" s="51" t="s">
        <v>273</v>
      </c>
      <c r="H26" s="21" t="s">
        <v>331</v>
      </c>
      <c r="I26" s="21"/>
      <c r="J26" s="54"/>
      <c r="K26" s="21"/>
      <c r="L26" s="21"/>
      <c r="M26" s="21"/>
      <c r="N26" s="21"/>
      <c r="O26" s="21"/>
      <c r="P26" s="21"/>
      <c r="Q26" s="21"/>
    </row>
    <row r="27" spans="2:17" ht="49.2" customHeight="1" x14ac:dyDescent="0.3">
      <c r="B27" s="7">
        <v>22</v>
      </c>
      <c r="C27" s="5" t="s">
        <v>14</v>
      </c>
      <c r="D27" s="5" t="s">
        <v>17</v>
      </c>
      <c r="E27" s="6" t="s">
        <v>31</v>
      </c>
      <c r="F27" s="79" t="s">
        <v>338</v>
      </c>
      <c r="G27" s="51" t="s">
        <v>339</v>
      </c>
      <c r="H27" s="21" t="s">
        <v>331</v>
      </c>
      <c r="I27" s="21"/>
      <c r="J27" s="54"/>
      <c r="K27" s="21"/>
      <c r="L27" s="21"/>
      <c r="M27" s="21"/>
      <c r="N27" s="21"/>
      <c r="O27" s="21"/>
      <c r="P27" s="21"/>
      <c r="Q27" s="21"/>
    </row>
    <row r="28" spans="2:17" ht="38.25" customHeight="1" x14ac:dyDescent="0.3">
      <c r="B28" s="7">
        <v>23</v>
      </c>
      <c r="C28" s="5" t="s">
        <v>14</v>
      </c>
      <c r="D28" s="63" t="s">
        <v>18</v>
      </c>
      <c r="E28" s="6" t="s">
        <v>32</v>
      </c>
      <c r="F28" s="4" t="s">
        <v>271</v>
      </c>
      <c r="G28" s="51" t="s">
        <v>270</v>
      </c>
      <c r="H28" s="21" t="s">
        <v>331</v>
      </c>
      <c r="I28" s="21"/>
      <c r="J28" s="54"/>
      <c r="K28" s="21"/>
      <c r="L28" s="21"/>
      <c r="M28" s="21"/>
      <c r="N28" s="21"/>
      <c r="O28" s="21"/>
      <c r="P28" s="21"/>
      <c r="Q28" s="21"/>
    </row>
    <row r="29" spans="2:17" ht="38.25" customHeight="1" x14ac:dyDescent="0.3">
      <c r="B29" s="7">
        <v>24</v>
      </c>
      <c r="C29" s="4" t="s">
        <v>80</v>
      </c>
      <c r="D29" s="64" t="s">
        <v>9</v>
      </c>
      <c r="E29" s="6" t="s">
        <v>25</v>
      </c>
      <c r="F29" s="4" t="s">
        <v>277</v>
      </c>
      <c r="G29" s="51" t="s">
        <v>276</v>
      </c>
      <c r="H29" s="21" t="s">
        <v>331</v>
      </c>
      <c r="I29" s="21"/>
      <c r="J29" s="54"/>
      <c r="K29" s="21"/>
      <c r="L29" s="21"/>
      <c r="M29" s="21"/>
      <c r="N29" s="21"/>
      <c r="O29" s="21"/>
      <c r="P29" s="21"/>
      <c r="Q29" s="21"/>
    </row>
    <row r="30" spans="2:17" ht="38.25" customHeight="1" x14ac:dyDescent="0.3">
      <c r="B30" s="7">
        <v>25</v>
      </c>
      <c r="C30" s="4" t="s">
        <v>80</v>
      </c>
      <c r="D30" s="64" t="s">
        <v>11</v>
      </c>
      <c r="E30" s="6" t="s">
        <v>27</v>
      </c>
      <c r="F30" s="4" t="s">
        <v>275</v>
      </c>
      <c r="G30" s="51" t="s">
        <v>274</v>
      </c>
      <c r="H30" s="21" t="s">
        <v>337</v>
      </c>
      <c r="I30" s="21"/>
      <c r="J30" s="54"/>
      <c r="K30" s="21"/>
      <c r="L30" s="21"/>
      <c r="M30" s="21"/>
      <c r="N30" s="21"/>
      <c r="O30" s="21"/>
      <c r="P30" s="21"/>
      <c r="Q30" s="21"/>
    </row>
    <row r="31" spans="2:17" ht="38.25" customHeight="1" x14ac:dyDescent="0.3">
      <c r="B31" s="7">
        <v>26</v>
      </c>
      <c r="C31" s="5" t="s">
        <v>37</v>
      </c>
      <c r="D31" s="64" t="s">
        <v>38</v>
      </c>
      <c r="E31" s="6" t="s">
        <v>55</v>
      </c>
      <c r="F31" s="4" t="s">
        <v>252</v>
      </c>
      <c r="G31" s="51" t="s">
        <v>253</v>
      </c>
      <c r="H31" s="21" t="s">
        <v>331</v>
      </c>
      <c r="I31" s="21"/>
      <c r="J31" s="54"/>
      <c r="K31" s="21"/>
      <c r="L31" s="21"/>
      <c r="M31" s="21"/>
      <c r="N31" s="21"/>
      <c r="O31" s="21"/>
      <c r="P31" s="21"/>
      <c r="Q31" s="21"/>
    </row>
    <row r="32" spans="2:17" ht="38.25" customHeight="1" x14ac:dyDescent="0.3">
      <c r="B32" s="7">
        <v>27</v>
      </c>
      <c r="C32" s="5" t="s">
        <v>37</v>
      </c>
      <c r="D32" s="63" t="s">
        <v>39</v>
      </c>
      <c r="E32" s="6" t="s">
        <v>56</v>
      </c>
      <c r="F32" s="4" t="s">
        <v>254</v>
      </c>
      <c r="G32" s="51" t="s">
        <v>255</v>
      </c>
      <c r="H32" s="21" t="s">
        <v>331</v>
      </c>
      <c r="I32" s="21"/>
      <c r="J32" s="54"/>
      <c r="K32" s="21"/>
      <c r="L32" s="21"/>
      <c r="M32" s="21"/>
      <c r="N32" s="21"/>
      <c r="O32" s="21"/>
      <c r="P32" s="21"/>
      <c r="Q32" s="21"/>
    </row>
    <row r="33" spans="2:17" ht="38.25" customHeight="1" x14ac:dyDescent="0.3">
      <c r="B33" s="7">
        <v>28</v>
      </c>
      <c r="C33" s="5" t="s">
        <v>37</v>
      </c>
      <c r="D33" s="63" t="s">
        <v>40</v>
      </c>
      <c r="E33" s="6" t="s">
        <v>57</v>
      </c>
      <c r="F33" s="4" t="s">
        <v>256</v>
      </c>
      <c r="G33" s="51" t="s">
        <v>257</v>
      </c>
      <c r="H33" s="21" t="s">
        <v>331</v>
      </c>
      <c r="I33" s="21"/>
      <c r="J33" s="54"/>
      <c r="K33" s="21"/>
      <c r="L33" s="21"/>
      <c r="M33" s="21"/>
      <c r="N33" s="21"/>
      <c r="O33" s="21"/>
      <c r="P33" s="21"/>
      <c r="Q33" s="21"/>
    </row>
    <row r="34" spans="2:17" ht="38.25" customHeight="1" x14ac:dyDescent="0.3">
      <c r="B34" s="7">
        <v>29</v>
      </c>
      <c r="C34" s="60" t="s">
        <v>37</v>
      </c>
      <c r="D34" s="60" t="s">
        <v>41</v>
      </c>
      <c r="E34" s="57" t="s">
        <v>58</v>
      </c>
      <c r="F34" s="80" t="s">
        <v>258</v>
      </c>
      <c r="G34" s="58" t="s">
        <v>259</v>
      </c>
      <c r="H34" s="59" t="s">
        <v>331</v>
      </c>
      <c r="I34" s="21"/>
      <c r="J34" s="54"/>
      <c r="K34" s="21"/>
      <c r="L34" s="21"/>
      <c r="M34" s="21"/>
      <c r="N34" s="21"/>
      <c r="O34" s="21"/>
      <c r="P34" s="21"/>
      <c r="Q34" s="21"/>
    </row>
    <row r="35" spans="2:17" ht="38.25" customHeight="1" x14ac:dyDescent="0.3">
      <c r="B35" s="7">
        <v>30</v>
      </c>
      <c r="C35" s="5" t="s">
        <v>37</v>
      </c>
      <c r="D35" s="5" t="s">
        <v>42</v>
      </c>
      <c r="E35" s="6" t="s">
        <v>59</v>
      </c>
      <c r="F35" s="4" t="s">
        <v>260</v>
      </c>
      <c r="G35" s="51" t="s">
        <v>261</v>
      </c>
      <c r="H35" s="21" t="s">
        <v>331</v>
      </c>
      <c r="I35" s="21"/>
      <c r="J35" s="54"/>
      <c r="K35" s="21"/>
      <c r="L35" s="21"/>
      <c r="M35" s="21"/>
      <c r="N35" s="21"/>
      <c r="O35" s="21"/>
      <c r="P35" s="21"/>
      <c r="Q35" s="21"/>
    </row>
    <row r="36" spans="2:17" ht="38.25" customHeight="1" x14ac:dyDescent="0.3">
      <c r="B36" s="7">
        <v>31</v>
      </c>
      <c r="C36" s="4" t="s">
        <v>47</v>
      </c>
      <c r="D36" s="64" t="s">
        <v>48</v>
      </c>
      <c r="E36" s="6" t="s">
        <v>60</v>
      </c>
      <c r="F36" s="7" t="s">
        <v>262</v>
      </c>
      <c r="G36" s="50" t="s">
        <v>263</v>
      </c>
      <c r="H36" s="21" t="s">
        <v>331</v>
      </c>
      <c r="I36" s="21"/>
      <c r="J36" s="54"/>
      <c r="K36" s="21"/>
      <c r="L36" s="21"/>
      <c r="M36" s="21"/>
      <c r="N36" s="21"/>
      <c r="O36" s="21"/>
      <c r="P36" s="21"/>
      <c r="Q36" s="21"/>
    </row>
    <row r="37" spans="2:17" ht="38.25" customHeight="1" x14ac:dyDescent="0.3">
      <c r="B37" s="7">
        <v>32</v>
      </c>
      <c r="C37" s="4" t="s">
        <v>47</v>
      </c>
      <c r="D37" s="4" t="s">
        <v>49</v>
      </c>
      <c r="E37" s="6" t="s">
        <v>61</v>
      </c>
      <c r="F37" s="7" t="s">
        <v>264</v>
      </c>
      <c r="G37" s="50" t="s">
        <v>265</v>
      </c>
      <c r="H37" s="21" t="s">
        <v>331</v>
      </c>
      <c r="I37" s="21"/>
      <c r="J37" s="54"/>
      <c r="K37" s="21"/>
      <c r="L37" s="21"/>
      <c r="M37" s="21"/>
      <c r="N37" s="21"/>
      <c r="O37" s="21"/>
      <c r="P37" s="21"/>
      <c r="Q37" s="21"/>
    </row>
    <row r="38" spans="2:17" ht="38.25" customHeight="1" x14ac:dyDescent="0.3">
      <c r="B38" s="7">
        <v>33</v>
      </c>
      <c r="C38" s="4" t="s">
        <v>47</v>
      </c>
      <c r="D38" s="4" t="s">
        <v>50</v>
      </c>
      <c r="E38" s="6" t="s">
        <v>62</v>
      </c>
      <c r="F38" s="7" t="s">
        <v>294</v>
      </c>
      <c r="G38" s="50" t="s">
        <v>293</v>
      </c>
      <c r="H38" s="21" t="s">
        <v>331</v>
      </c>
      <c r="I38" s="21"/>
      <c r="J38" s="54"/>
      <c r="K38" s="21"/>
      <c r="L38" s="21"/>
      <c r="M38" s="21"/>
      <c r="N38" s="21"/>
      <c r="O38" s="21"/>
      <c r="P38" s="21"/>
      <c r="Q38" s="21"/>
    </row>
    <row r="39" spans="2:17" ht="38.25" customHeight="1" x14ac:dyDescent="0.3">
      <c r="B39" s="7">
        <v>34</v>
      </c>
      <c r="C39" s="4" t="s">
        <v>47</v>
      </c>
      <c r="D39" s="4" t="s">
        <v>51</v>
      </c>
      <c r="E39" s="6" t="s">
        <v>63</v>
      </c>
      <c r="F39" s="7" t="s">
        <v>266</v>
      </c>
      <c r="G39" s="50" t="s">
        <v>267</v>
      </c>
      <c r="H39" s="21" t="s">
        <v>331</v>
      </c>
      <c r="I39" s="21"/>
      <c r="J39" s="54"/>
      <c r="K39" s="21"/>
      <c r="L39" s="21"/>
      <c r="M39" s="21"/>
      <c r="N39" s="21"/>
      <c r="O39" s="21"/>
      <c r="P39" s="21"/>
      <c r="Q39" s="21"/>
    </row>
    <row r="40" spans="2:17" ht="38.25" customHeight="1" x14ac:dyDescent="0.3">
      <c r="B40" s="7">
        <v>35</v>
      </c>
      <c r="C40" s="5" t="s">
        <v>197</v>
      </c>
      <c r="D40" s="5" t="s">
        <v>198</v>
      </c>
      <c r="E40" s="6" t="s">
        <v>199</v>
      </c>
      <c r="F40" s="4" t="s">
        <v>326</v>
      </c>
      <c r="G40" s="51" t="s">
        <v>327</v>
      </c>
      <c r="H40" s="21" t="s">
        <v>331</v>
      </c>
      <c r="I40" s="21"/>
      <c r="J40" s="54"/>
      <c r="K40" s="21"/>
      <c r="L40" s="21"/>
      <c r="M40" s="21"/>
      <c r="N40" s="21"/>
      <c r="O40" s="21"/>
      <c r="P40" s="21"/>
      <c r="Q40" s="21"/>
    </row>
    <row r="41" spans="2:17" ht="38.25" customHeight="1" x14ac:dyDescent="0.3">
      <c r="B41" s="7">
        <v>36</v>
      </c>
      <c r="C41" s="5" t="s">
        <v>197</v>
      </c>
      <c r="D41" s="5" t="s">
        <v>200</v>
      </c>
      <c r="E41" s="6" t="s">
        <v>201</v>
      </c>
      <c r="F41" s="4" t="s">
        <v>322</v>
      </c>
      <c r="G41" s="51" t="s">
        <v>321</v>
      </c>
      <c r="H41" s="21" t="s">
        <v>331</v>
      </c>
      <c r="I41" s="21"/>
      <c r="J41" s="54"/>
      <c r="K41" s="21"/>
      <c r="L41" s="21"/>
      <c r="M41" s="21"/>
      <c r="N41" s="21"/>
      <c r="O41" s="21"/>
      <c r="P41" s="21"/>
      <c r="Q41" s="21"/>
    </row>
    <row r="42" spans="2:17" ht="38.25" customHeight="1" x14ac:dyDescent="0.3">
      <c r="B42" s="7">
        <v>37</v>
      </c>
      <c r="C42" s="4" t="s">
        <v>197</v>
      </c>
      <c r="D42" s="4" t="s">
        <v>197</v>
      </c>
      <c r="E42" s="6" t="s">
        <v>202</v>
      </c>
      <c r="F42" s="4" t="s">
        <v>325</v>
      </c>
      <c r="G42" s="51" t="s">
        <v>324</v>
      </c>
      <c r="H42" s="21" t="s">
        <v>331</v>
      </c>
      <c r="I42" s="21"/>
      <c r="J42" s="54"/>
      <c r="K42" s="21"/>
      <c r="L42" s="21"/>
      <c r="M42" s="21"/>
      <c r="N42" s="21"/>
      <c r="O42" s="21"/>
      <c r="P42" s="21"/>
      <c r="Q42" s="21"/>
    </row>
    <row r="43" spans="2:17" ht="38.25" customHeight="1" x14ac:dyDescent="0.3">
      <c r="B43" s="7">
        <v>38</v>
      </c>
      <c r="C43" s="4" t="s">
        <v>197</v>
      </c>
      <c r="D43" s="4" t="s">
        <v>203</v>
      </c>
      <c r="E43" s="6" t="s">
        <v>204</v>
      </c>
      <c r="F43" s="4" t="s">
        <v>323</v>
      </c>
      <c r="G43" s="51" t="s">
        <v>340</v>
      </c>
      <c r="H43" s="21" t="s">
        <v>335</v>
      </c>
      <c r="I43" s="21"/>
      <c r="J43" s="54"/>
      <c r="K43" s="21"/>
      <c r="L43" s="21"/>
      <c r="M43" s="21"/>
      <c r="N43" s="21"/>
      <c r="O43" s="21"/>
      <c r="P43" s="21"/>
      <c r="Q43" s="21"/>
    </row>
    <row r="44" spans="2:17" ht="38.25" customHeight="1" x14ac:dyDescent="0.3">
      <c r="B44" s="7">
        <v>39</v>
      </c>
      <c r="C44" s="4" t="s">
        <v>197</v>
      </c>
      <c r="D44" s="64" t="s">
        <v>205</v>
      </c>
      <c r="E44" s="6" t="s">
        <v>206</v>
      </c>
      <c r="F44" s="4" t="s">
        <v>330</v>
      </c>
      <c r="G44" s="51" t="s">
        <v>329</v>
      </c>
      <c r="H44" s="21" t="s">
        <v>331</v>
      </c>
      <c r="I44" s="21"/>
      <c r="J44" s="54"/>
      <c r="K44" s="21"/>
      <c r="L44" s="21"/>
      <c r="M44" s="21"/>
      <c r="N44" s="21"/>
      <c r="O44" s="21"/>
      <c r="P44" s="21"/>
      <c r="Q44" s="21"/>
    </row>
    <row r="45" spans="2:17" ht="38.25" customHeight="1" x14ac:dyDescent="0.3">
      <c r="B45" s="7">
        <v>40</v>
      </c>
      <c r="C45" s="5" t="s">
        <v>19</v>
      </c>
      <c r="D45" s="5" t="s">
        <v>21</v>
      </c>
      <c r="E45" s="6" t="s">
        <v>33</v>
      </c>
      <c r="F45" s="7" t="s">
        <v>306</v>
      </c>
      <c r="G45" s="50" t="s">
        <v>305</v>
      </c>
      <c r="H45" s="21" t="s">
        <v>331</v>
      </c>
      <c r="I45" s="21"/>
      <c r="J45" s="54"/>
      <c r="K45" s="21"/>
      <c r="L45" s="21"/>
      <c r="M45" s="21"/>
      <c r="N45" s="21"/>
      <c r="O45" s="21"/>
      <c r="P45" s="21"/>
      <c r="Q45" s="21"/>
    </row>
    <row r="46" spans="2:17" ht="38.25" customHeight="1" x14ac:dyDescent="0.3">
      <c r="B46" s="7">
        <v>41</v>
      </c>
      <c r="C46" s="5" t="s">
        <v>19</v>
      </c>
      <c r="D46" s="63" t="s">
        <v>22</v>
      </c>
      <c r="E46" s="6" t="s">
        <v>34</v>
      </c>
      <c r="F46" s="7" t="s">
        <v>308</v>
      </c>
      <c r="G46" s="50" t="s">
        <v>307</v>
      </c>
      <c r="H46" s="21" t="s">
        <v>331</v>
      </c>
      <c r="I46" s="21"/>
      <c r="J46" s="54"/>
      <c r="K46" s="21"/>
      <c r="L46" s="21"/>
      <c r="M46" s="21"/>
      <c r="N46" s="21"/>
      <c r="O46" s="21"/>
      <c r="P46" s="21"/>
      <c r="Q46" s="21"/>
    </row>
    <row r="47" spans="2:17" ht="38.25" customHeight="1" x14ac:dyDescent="0.3">
      <c r="B47" s="7">
        <v>42</v>
      </c>
      <c r="C47" s="53" t="s">
        <v>19</v>
      </c>
      <c r="D47" s="53" t="s">
        <v>20</v>
      </c>
      <c r="E47" s="52" t="s">
        <v>35</v>
      </c>
      <c r="F47" s="61" t="s">
        <v>310</v>
      </c>
      <c r="G47" s="62" t="s">
        <v>309</v>
      </c>
      <c r="H47" s="54" t="s">
        <v>336</v>
      </c>
      <c r="I47" s="21"/>
      <c r="J47" s="54"/>
      <c r="K47" s="21"/>
      <c r="L47" s="21"/>
      <c r="M47" s="21"/>
      <c r="N47" s="21"/>
      <c r="O47" s="21"/>
      <c r="P47" s="21"/>
      <c r="Q47" s="21"/>
    </row>
    <row r="48" spans="2:17" ht="38.25" customHeight="1" x14ac:dyDescent="0.3">
      <c r="B48" s="7">
        <v>43</v>
      </c>
      <c r="C48" s="5" t="s">
        <v>69</v>
      </c>
      <c r="D48" s="4" t="s">
        <v>70</v>
      </c>
      <c r="E48" s="6" t="s">
        <v>74</v>
      </c>
      <c r="F48" s="7" t="s">
        <v>232</v>
      </c>
      <c r="G48" s="50" t="s">
        <v>233</v>
      </c>
      <c r="H48" s="21" t="s">
        <v>331</v>
      </c>
      <c r="I48" s="21"/>
      <c r="J48" s="54"/>
      <c r="K48" s="21"/>
      <c r="L48" s="21"/>
      <c r="M48" s="21"/>
      <c r="N48" s="21"/>
      <c r="O48" s="21"/>
      <c r="P48" s="21"/>
      <c r="Q48" s="21"/>
    </row>
    <row r="49" spans="2:17" ht="38.25" customHeight="1" x14ac:dyDescent="0.3">
      <c r="B49" s="7">
        <v>44</v>
      </c>
      <c r="C49" s="5" t="s">
        <v>69</v>
      </c>
      <c r="D49" s="5" t="s">
        <v>71</v>
      </c>
      <c r="E49" s="6" t="s">
        <v>75</v>
      </c>
      <c r="F49" s="7" t="s">
        <v>228</v>
      </c>
      <c r="G49" s="50" t="s">
        <v>229</v>
      </c>
      <c r="H49" s="21" t="s">
        <v>331</v>
      </c>
      <c r="I49" s="21"/>
      <c r="J49" s="54"/>
      <c r="K49" s="21"/>
      <c r="L49" s="21"/>
      <c r="M49" s="21"/>
      <c r="N49" s="21"/>
      <c r="O49" s="21"/>
      <c r="P49" s="21"/>
      <c r="Q49" s="21"/>
    </row>
    <row r="50" spans="2:17" ht="38.25" customHeight="1" x14ac:dyDescent="0.3">
      <c r="B50" s="7">
        <v>45</v>
      </c>
      <c r="C50" s="5" t="s">
        <v>69</v>
      </c>
      <c r="D50" s="63" t="s">
        <v>72</v>
      </c>
      <c r="E50" s="6" t="s">
        <v>76</v>
      </c>
      <c r="F50" s="7" t="s">
        <v>234</v>
      </c>
      <c r="G50" s="50" t="s">
        <v>235</v>
      </c>
      <c r="H50" s="21" t="s">
        <v>331</v>
      </c>
      <c r="I50" s="21"/>
      <c r="J50" s="54"/>
      <c r="K50" s="21"/>
      <c r="L50" s="21"/>
      <c r="M50" s="21"/>
      <c r="N50" s="21"/>
      <c r="O50" s="21"/>
      <c r="P50" s="21"/>
      <c r="Q50" s="21"/>
    </row>
    <row r="51" spans="2:17" ht="38.25" customHeight="1" x14ac:dyDescent="0.3">
      <c r="B51" s="7">
        <v>46</v>
      </c>
      <c r="C51" s="5" t="s">
        <v>69</v>
      </c>
      <c r="D51" s="5" t="s">
        <v>65</v>
      </c>
      <c r="E51" s="6" t="s">
        <v>77</v>
      </c>
      <c r="F51" s="7" t="s">
        <v>230</v>
      </c>
      <c r="G51" s="50" t="s">
        <v>231</v>
      </c>
      <c r="H51" s="21" t="s">
        <v>331</v>
      </c>
      <c r="I51" s="21"/>
      <c r="J51" s="54"/>
      <c r="K51" s="21"/>
      <c r="L51" s="21"/>
      <c r="M51" s="21"/>
      <c r="N51" s="21"/>
      <c r="O51" s="21"/>
      <c r="P51" s="21"/>
      <c r="Q51" s="21"/>
    </row>
    <row r="52" spans="2:17" ht="38.25" customHeight="1" x14ac:dyDescent="0.3">
      <c r="B52" s="7">
        <v>47</v>
      </c>
      <c r="C52" s="5" t="s">
        <v>218</v>
      </c>
      <c r="D52" s="4" t="s">
        <v>219</v>
      </c>
      <c r="E52" s="44" t="s">
        <v>220</v>
      </c>
      <c r="F52" s="78" t="s">
        <v>297</v>
      </c>
      <c r="G52" s="50" t="s">
        <v>301</v>
      </c>
      <c r="H52" s="21" t="s">
        <v>334</v>
      </c>
      <c r="I52" s="21"/>
      <c r="J52" s="54"/>
      <c r="K52" s="21"/>
      <c r="L52" s="21"/>
      <c r="M52" s="21"/>
      <c r="N52" s="21"/>
      <c r="O52" s="21"/>
      <c r="P52" s="21"/>
      <c r="Q52" s="21"/>
    </row>
    <row r="53" spans="2:17" ht="38.25" customHeight="1" x14ac:dyDescent="0.3">
      <c r="B53" s="7">
        <v>48</v>
      </c>
      <c r="C53" s="4" t="s">
        <v>218</v>
      </c>
      <c r="D53" s="64" t="s">
        <v>221</v>
      </c>
      <c r="E53" s="44" t="s">
        <v>222</v>
      </c>
      <c r="F53" s="7" t="s">
        <v>298</v>
      </c>
      <c r="G53" s="50" t="s">
        <v>302</v>
      </c>
      <c r="H53" s="21" t="s">
        <v>331</v>
      </c>
      <c r="I53" s="21"/>
      <c r="J53" s="54"/>
      <c r="K53" s="21"/>
      <c r="L53" s="21"/>
      <c r="M53" s="21"/>
      <c r="N53" s="21"/>
      <c r="O53" s="21"/>
      <c r="P53" s="21"/>
      <c r="Q53" s="21"/>
    </row>
    <row r="54" spans="2:17" ht="38.25" customHeight="1" x14ac:dyDescent="0.3">
      <c r="B54" s="7">
        <v>49</v>
      </c>
      <c r="C54" s="4" t="s">
        <v>218</v>
      </c>
      <c r="D54" s="5" t="s">
        <v>223</v>
      </c>
      <c r="E54" s="44" t="s">
        <v>224</v>
      </c>
      <c r="F54" s="78" t="s">
        <v>299</v>
      </c>
      <c r="G54" s="50" t="s">
        <v>303</v>
      </c>
      <c r="H54" s="21" t="s">
        <v>331</v>
      </c>
      <c r="I54" s="21"/>
      <c r="J54" s="54"/>
      <c r="K54" s="21"/>
      <c r="L54" s="21"/>
      <c r="M54" s="21"/>
      <c r="N54" s="21"/>
      <c r="O54" s="21"/>
      <c r="P54" s="21"/>
      <c r="Q54" s="21"/>
    </row>
    <row r="55" spans="2:17" ht="38.25" customHeight="1" x14ac:dyDescent="0.3">
      <c r="B55" s="7">
        <v>50</v>
      </c>
      <c r="C55" s="5" t="s">
        <v>218</v>
      </c>
      <c r="D55" s="63" t="s">
        <v>225</v>
      </c>
      <c r="E55" s="44" t="s">
        <v>226</v>
      </c>
      <c r="F55" s="7" t="s">
        <v>300</v>
      </c>
      <c r="G55" s="50" t="s">
        <v>304</v>
      </c>
      <c r="H55" s="21" t="s">
        <v>331</v>
      </c>
      <c r="I55" s="21"/>
      <c r="J55" s="54"/>
      <c r="K55" s="21"/>
      <c r="L55" s="21"/>
      <c r="M55" s="21"/>
      <c r="N55" s="21"/>
      <c r="O55" s="21"/>
      <c r="P55" s="21"/>
      <c r="Q55" s="21"/>
    </row>
    <row r="56" spans="2:17" ht="38.25" customHeight="1" x14ac:dyDescent="0.3">
      <c r="B56" s="7">
        <v>51</v>
      </c>
      <c r="C56" s="5" t="s">
        <v>69</v>
      </c>
      <c r="D56" s="5" t="s">
        <v>73</v>
      </c>
      <c r="E56" s="6" t="s">
        <v>78</v>
      </c>
      <c r="F56" s="7" t="s">
        <v>237</v>
      </c>
      <c r="G56" s="50" t="s">
        <v>236</v>
      </c>
      <c r="H56" s="21" t="s">
        <v>331</v>
      </c>
      <c r="I56" s="21"/>
      <c r="J56" s="54"/>
      <c r="K56" s="21"/>
      <c r="L56" s="21"/>
      <c r="M56" s="21"/>
      <c r="N56" s="21"/>
      <c r="O56" s="21"/>
      <c r="P56" s="21"/>
      <c r="Q56" s="21"/>
    </row>
    <row r="57" spans="2:17" ht="30.75" customHeight="1" x14ac:dyDescent="0.3">
      <c r="B57" s="66" t="s">
        <v>100</v>
      </c>
      <c r="C57" s="67"/>
      <c r="D57" s="67"/>
      <c r="E57" s="67"/>
      <c r="F57" s="67"/>
      <c r="G57" s="8"/>
      <c r="H57" s="21"/>
      <c r="I57" s="21"/>
      <c r="J57" s="54"/>
      <c r="K57" s="21"/>
      <c r="L57" s="21"/>
      <c r="M57" s="21"/>
      <c r="N57" s="21"/>
      <c r="O57" s="21"/>
      <c r="P57" s="21"/>
      <c r="Q57" s="21"/>
    </row>
    <row r="58" spans="2:17" ht="38.25" customHeight="1" x14ac:dyDescent="0.3">
      <c r="B58" s="7">
        <f>SUBTOTAL(3,$C$24:C56)</f>
        <v>33</v>
      </c>
      <c r="C58" s="5" t="s">
        <v>101</v>
      </c>
      <c r="D58" s="5" t="s">
        <v>83</v>
      </c>
      <c r="E58" s="6" t="s">
        <v>96</v>
      </c>
      <c r="F58" s="7"/>
      <c r="G58" s="7"/>
      <c r="H58" s="21"/>
      <c r="I58" s="21"/>
      <c r="J58" s="54"/>
      <c r="K58" s="21"/>
      <c r="L58" s="21"/>
      <c r="M58" s="21"/>
      <c r="N58" s="21"/>
      <c r="O58" s="21"/>
      <c r="P58" s="21"/>
      <c r="Q58" s="21"/>
    </row>
    <row r="59" spans="2:17" ht="38.25" customHeight="1" x14ac:dyDescent="0.3">
      <c r="B59" s="7">
        <f>SUBTOTAL(3,$C$24:C56)</f>
        <v>33</v>
      </c>
      <c r="C59" s="5" t="s">
        <v>12</v>
      </c>
      <c r="D59" s="5" t="s">
        <v>85</v>
      </c>
      <c r="E59" s="6" t="s">
        <v>91</v>
      </c>
      <c r="F59" s="7" t="s">
        <v>241</v>
      </c>
      <c r="G59" s="50" t="s">
        <v>242</v>
      </c>
      <c r="H59" s="21" t="s">
        <v>331</v>
      </c>
      <c r="I59" s="21"/>
      <c r="J59" s="54"/>
      <c r="K59" s="21"/>
      <c r="L59" s="21"/>
      <c r="M59" s="21"/>
      <c r="N59" s="21"/>
      <c r="O59" s="21"/>
      <c r="P59" s="21"/>
      <c r="Q59" s="21"/>
    </row>
    <row r="60" spans="2:17" ht="38.25" customHeight="1" x14ac:dyDescent="0.3">
      <c r="B60" s="7">
        <f>SUBTOTAL(3,$C$24:C56)</f>
        <v>33</v>
      </c>
      <c r="C60" s="5" t="s">
        <v>102</v>
      </c>
      <c r="D60" s="5" t="s">
        <v>87</v>
      </c>
      <c r="E60" s="6" t="s">
        <v>93</v>
      </c>
      <c r="F60" s="7"/>
      <c r="G60" s="7"/>
      <c r="H60" s="21"/>
      <c r="I60" s="21"/>
      <c r="J60" s="54"/>
      <c r="K60" s="21"/>
      <c r="L60" s="21"/>
      <c r="M60" s="21"/>
      <c r="N60" s="21"/>
      <c r="O60" s="21"/>
      <c r="P60" s="21"/>
      <c r="Q60" s="21"/>
    </row>
    <row r="61" spans="2:17" x14ac:dyDescent="0.3">
      <c r="B61" s="7">
        <f>SUBTOTAL(3,$C$24:C56)</f>
        <v>33</v>
      </c>
      <c r="C61" s="5" t="s">
        <v>184</v>
      </c>
      <c r="D61" s="5" t="s">
        <v>185</v>
      </c>
      <c r="E61" s="6"/>
      <c r="F61" s="7" t="s">
        <v>292</v>
      </c>
      <c r="G61" s="7"/>
      <c r="H61" s="21"/>
      <c r="I61" s="21"/>
      <c r="J61" s="54"/>
      <c r="K61" s="21"/>
      <c r="L61" s="21"/>
      <c r="M61" s="21"/>
      <c r="N61" s="21"/>
      <c r="O61" s="21"/>
      <c r="P61" s="21"/>
      <c r="Q61" s="21"/>
    </row>
    <row r="62" spans="2:17" ht="31.2" x14ac:dyDescent="0.3">
      <c r="B62" s="7">
        <f>SUBTOTAL(3,$C$24:C56)</f>
        <v>33</v>
      </c>
      <c r="C62" s="5" t="s">
        <v>186</v>
      </c>
      <c r="D62" s="63" t="s">
        <v>43</v>
      </c>
      <c r="E62" s="6" t="s">
        <v>286</v>
      </c>
      <c r="F62" s="7" t="s">
        <v>284</v>
      </c>
      <c r="G62" s="50" t="s">
        <v>285</v>
      </c>
      <c r="H62" s="21" t="s">
        <v>331</v>
      </c>
      <c r="I62" s="21"/>
      <c r="J62" s="54"/>
      <c r="K62" s="21"/>
      <c r="L62" s="21"/>
      <c r="M62" s="21"/>
      <c r="N62" s="21"/>
      <c r="O62" s="21"/>
      <c r="P62" s="21"/>
      <c r="Q62" s="21"/>
    </row>
    <row r="63" spans="2:17" x14ac:dyDescent="0.3">
      <c r="B63" s="7">
        <f>SUBTOTAL(3,$C$24:C63)</f>
        <v>39</v>
      </c>
      <c r="C63" s="5" t="s">
        <v>187</v>
      </c>
      <c r="D63" s="5" t="s">
        <v>188</v>
      </c>
      <c r="E63" s="6"/>
      <c r="F63" s="7"/>
      <c r="G63" s="50" t="s">
        <v>328</v>
      </c>
      <c r="H63" s="21" t="s">
        <v>331</v>
      </c>
      <c r="I63" s="21"/>
      <c r="J63" s="54"/>
      <c r="K63" s="21"/>
      <c r="L63" s="21"/>
      <c r="M63" s="21"/>
      <c r="N63" s="21"/>
      <c r="O63" s="21"/>
      <c r="P63" s="21"/>
      <c r="Q63" s="21"/>
    </row>
    <row r="64" spans="2:17" x14ac:dyDescent="0.3">
      <c r="H64" s="21"/>
      <c r="I64" s="21"/>
      <c r="J64" s="54"/>
      <c r="K64" s="21"/>
      <c r="L64" s="21"/>
      <c r="M64" s="21"/>
      <c r="N64" s="21"/>
      <c r="O64" s="21"/>
      <c r="P64" s="21"/>
      <c r="Q64" s="21"/>
    </row>
  </sheetData>
  <autoFilter ref="B5:G56" xr:uid="{00000000-0009-0000-0000-000000000000}">
    <sortState xmlns:xlrd2="http://schemas.microsoft.com/office/spreadsheetml/2017/richdata2" ref="B6:G55">
      <sortCondition ref="C5:C56"/>
    </sortState>
  </autoFilter>
  <mergeCells count="6">
    <mergeCell ref="B57:F57"/>
    <mergeCell ref="F3:G3"/>
    <mergeCell ref="E3:E4"/>
    <mergeCell ref="D3:D4"/>
    <mergeCell ref="C3:C4"/>
    <mergeCell ref="B3:B4"/>
  </mergeCells>
  <pageMargins left="0.7" right="0.7" top="0.75" bottom="0.75" header="0.3" footer="0.3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G11"/>
  <sheetViews>
    <sheetView showGridLines="0" zoomScale="80" zoomScaleNormal="80" workbookViewId="0">
      <selection activeCell="D5" sqref="D5"/>
    </sheetView>
  </sheetViews>
  <sheetFormatPr defaultColWidth="9.109375" defaultRowHeight="15.6" x14ac:dyDescent="0.3"/>
  <cols>
    <col min="1" max="1" width="9.109375" style="8"/>
    <col min="2" max="2" width="9.33203125" style="9" customWidth="1"/>
    <col min="3" max="3" width="25.88671875" style="9" customWidth="1"/>
    <col min="4" max="4" width="57.33203125" style="10" customWidth="1"/>
    <col min="5" max="5" width="22.5546875" style="9" customWidth="1"/>
    <col min="6" max="6" width="14.33203125" style="9" customWidth="1"/>
    <col min="7" max="7" width="14.88671875" style="8" hidden="1" customWidth="1"/>
    <col min="8" max="16384" width="9.109375" style="8"/>
  </cols>
  <sheetData>
    <row r="1" spans="2:7" ht="26.25" customHeight="1" x14ac:dyDescent="0.3">
      <c r="B1" s="76" t="s">
        <v>81</v>
      </c>
      <c r="C1" s="76"/>
      <c r="D1" s="76"/>
      <c r="E1" s="76"/>
      <c r="F1" s="76"/>
    </row>
    <row r="3" spans="2:7" ht="37.5" customHeight="1" x14ac:dyDescent="0.3">
      <c r="B3" s="1" t="s">
        <v>0</v>
      </c>
      <c r="C3" s="2" t="s">
        <v>82</v>
      </c>
      <c r="D3" s="3" t="s">
        <v>3</v>
      </c>
      <c r="E3" s="3" t="s">
        <v>6</v>
      </c>
      <c r="F3" s="1" t="s">
        <v>5</v>
      </c>
      <c r="G3" s="1" t="s">
        <v>23</v>
      </c>
    </row>
    <row r="4" spans="2:7" ht="38.25" customHeight="1" x14ac:dyDescent="0.3">
      <c r="B4" s="7">
        <f>SUBTOTAL(3,$C$4:C4)</f>
        <v>1</v>
      </c>
      <c r="C4" s="5" t="s">
        <v>83</v>
      </c>
      <c r="D4" s="6" t="s">
        <v>96</v>
      </c>
      <c r="E4" s="7" t="s">
        <v>97</v>
      </c>
      <c r="F4" s="7">
        <v>75</v>
      </c>
      <c r="G4" s="11">
        <v>13.284554562</v>
      </c>
    </row>
    <row r="5" spans="2:7" ht="38.25" customHeight="1" x14ac:dyDescent="0.3">
      <c r="B5" s="7">
        <f>SUBTOTAL(3,$C$4:C5)</f>
        <v>2</v>
      </c>
      <c r="C5" s="5" t="s">
        <v>84</v>
      </c>
      <c r="D5" s="6" t="s">
        <v>90</v>
      </c>
      <c r="E5" s="7" t="s">
        <v>97</v>
      </c>
      <c r="F5" s="7">
        <v>75</v>
      </c>
      <c r="G5" s="11">
        <v>19.165214478000003</v>
      </c>
    </row>
    <row r="6" spans="2:7" ht="38.25" customHeight="1" x14ac:dyDescent="0.3">
      <c r="B6" s="7">
        <f>SUBTOTAL(3,$C$4:C6)</f>
        <v>3</v>
      </c>
      <c r="C6" s="5" t="s">
        <v>85</v>
      </c>
      <c r="D6" s="6" t="s">
        <v>91</v>
      </c>
      <c r="E6" s="7" t="s">
        <v>97</v>
      </c>
      <c r="F6" s="7">
        <v>75</v>
      </c>
      <c r="G6" s="11">
        <v>9.2021560100000013</v>
      </c>
    </row>
    <row r="7" spans="2:7" ht="38.25" customHeight="1" x14ac:dyDescent="0.3">
      <c r="B7" s="7">
        <f>SUBTOTAL(3,$C$4:C7)</f>
        <v>4</v>
      </c>
      <c r="C7" s="5" t="s">
        <v>86</v>
      </c>
      <c r="D7" s="6" t="s">
        <v>92</v>
      </c>
      <c r="E7" s="7" t="s">
        <v>97</v>
      </c>
      <c r="F7" s="7">
        <v>75</v>
      </c>
      <c r="G7" s="11">
        <v>9.7315942479999986</v>
      </c>
    </row>
    <row r="8" spans="2:7" ht="38.25" customHeight="1" x14ac:dyDescent="0.3">
      <c r="B8" s="7">
        <f>SUBTOTAL(3,$C$4:C8)</f>
        <v>5</v>
      </c>
      <c r="C8" s="5" t="s">
        <v>87</v>
      </c>
      <c r="D8" s="6" t="s">
        <v>93</v>
      </c>
      <c r="E8" s="7" t="s">
        <v>97</v>
      </c>
      <c r="F8" s="7">
        <v>75</v>
      </c>
      <c r="G8" s="11">
        <v>1.6275920859999999</v>
      </c>
    </row>
    <row r="9" spans="2:7" ht="38.25" customHeight="1" x14ac:dyDescent="0.3">
      <c r="B9" s="7">
        <f>SUBTOTAL(3,$C$4:C9)</f>
        <v>6</v>
      </c>
      <c r="C9" s="4" t="s">
        <v>88</v>
      </c>
      <c r="D9" s="6" t="s">
        <v>94</v>
      </c>
      <c r="E9" s="7" t="s">
        <v>97</v>
      </c>
      <c r="F9" s="7">
        <v>75</v>
      </c>
      <c r="G9" s="11">
        <v>5.7833377690000001</v>
      </c>
    </row>
    <row r="10" spans="2:7" ht="38.25" customHeight="1" x14ac:dyDescent="0.3">
      <c r="B10" s="7">
        <f>SUBTOTAL(3,$C$4:C10)</f>
        <v>7</v>
      </c>
      <c r="C10" s="4" t="s">
        <v>98</v>
      </c>
      <c r="D10" s="6" t="s">
        <v>99</v>
      </c>
      <c r="E10" s="7" t="s">
        <v>97</v>
      </c>
      <c r="F10" s="7">
        <v>75</v>
      </c>
      <c r="G10" s="12"/>
    </row>
    <row r="11" spans="2:7" ht="38.25" customHeight="1" x14ac:dyDescent="0.3">
      <c r="B11" s="7">
        <f>SUBTOTAL(3,$C$4:C11)</f>
        <v>8</v>
      </c>
      <c r="C11" s="4" t="s">
        <v>89</v>
      </c>
      <c r="D11" s="6" t="s">
        <v>95</v>
      </c>
      <c r="E11" s="7" t="s">
        <v>97</v>
      </c>
      <c r="F11" s="7">
        <v>75</v>
      </c>
      <c r="G11" s="11">
        <v>10.526883545</v>
      </c>
    </row>
  </sheetData>
  <autoFilter ref="B3:F11" xr:uid="{00000000-0009-0000-0000-000001000000}">
    <sortState xmlns:xlrd2="http://schemas.microsoft.com/office/spreadsheetml/2017/richdata2" ref="B4:G35">
      <sortCondition ref="C3:C18"/>
    </sortState>
  </autoFilter>
  <mergeCells count="1">
    <mergeCell ref="B1:F1"/>
  </mergeCells>
  <pageMargins left="0.7" right="0.7" top="0.75" bottom="0.75" header="0.3" footer="0.3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9"/>
  <sheetViews>
    <sheetView zoomScale="120" zoomScaleNormal="120" workbookViewId="0">
      <pane xSplit="5" ySplit="1" topLeftCell="F18" activePane="bottomRight" state="frozen"/>
      <selection pane="topRight" activeCell="F1" sqref="F1"/>
      <selection pane="bottomLeft" activeCell="A2" sqref="A2"/>
      <selection pane="bottomRight" activeCell="J22" sqref="J22"/>
    </sheetView>
  </sheetViews>
  <sheetFormatPr defaultColWidth="9.109375" defaultRowHeight="14.4" x14ac:dyDescent="0.3"/>
  <cols>
    <col min="1" max="1" width="5.109375" style="21" bestFit="1" customWidth="1"/>
    <col min="2" max="2" width="16.33203125" style="21" customWidth="1"/>
    <col min="3" max="3" width="19.88671875" style="21" customWidth="1"/>
    <col min="4" max="4" width="25.5546875" style="21" hidden="1" customWidth="1"/>
    <col min="5" max="5" width="26.6640625" style="25" hidden="1" customWidth="1"/>
    <col min="6" max="6" width="15.6640625" style="25" customWidth="1"/>
    <col min="7" max="7" width="16.33203125" style="25" customWidth="1"/>
    <col min="8" max="8" width="15.109375" style="25" customWidth="1"/>
    <col min="9" max="16384" width="9.109375" style="21"/>
  </cols>
  <sheetData>
    <row r="1" spans="1:8" ht="15.6" x14ac:dyDescent="0.3">
      <c r="A1" s="13" t="s">
        <v>0</v>
      </c>
      <c r="B1" s="14" t="s">
        <v>1</v>
      </c>
      <c r="C1" s="14" t="s">
        <v>2</v>
      </c>
      <c r="D1" s="15" t="s">
        <v>103</v>
      </c>
      <c r="E1" s="26" t="s">
        <v>104</v>
      </c>
      <c r="F1" s="22" t="s">
        <v>125</v>
      </c>
      <c r="G1" s="31" t="s">
        <v>161</v>
      </c>
      <c r="H1" s="31" t="s">
        <v>162</v>
      </c>
    </row>
    <row r="2" spans="1:8" ht="15.6" x14ac:dyDescent="0.3">
      <c r="A2" s="16">
        <f>SUBTOTAL(3,$B$2:B2)</f>
        <v>1</v>
      </c>
      <c r="B2" s="17" t="s">
        <v>64</v>
      </c>
      <c r="C2" s="17" t="s">
        <v>65</v>
      </c>
      <c r="D2" s="18" t="s">
        <v>123</v>
      </c>
      <c r="E2" s="23"/>
      <c r="F2" s="23" t="s">
        <v>126</v>
      </c>
      <c r="G2" s="29" t="s">
        <v>163</v>
      </c>
      <c r="H2" s="30" t="s">
        <v>164</v>
      </c>
    </row>
    <row r="3" spans="1:8" ht="15.6" x14ac:dyDescent="0.3">
      <c r="A3" s="16">
        <f>SUBTOTAL(3,$B$2:B3)</f>
        <v>2</v>
      </c>
      <c r="B3" s="17" t="s">
        <v>64</v>
      </c>
      <c r="C3" s="17" t="s">
        <v>66</v>
      </c>
      <c r="D3" s="18" t="s">
        <v>159</v>
      </c>
      <c r="E3" s="27" t="s">
        <v>160</v>
      </c>
      <c r="F3" s="24" t="s">
        <v>127</v>
      </c>
      <c r="G3" s="29"/>
      <c r="H3" s="29"/>
    </row>
    <row r="4" spans="1:8" ht="15.6" x14ac:dyDescent="0.3">
      <c r="A4" s="16">
        <f>SUBTOTAL(3,$B$2:B4)</f>
        <v>3</v>
      </c>
      <c r="B4" s="39" t="s">
        <v>43</v>
      </c>
      <c r="C4" s="39" t="s">
        <v>44</v>
      </c>
      <c r="D4" s="34" t="s">
        <v>105</v>
      </c>
      <c r="E4" s="35" t="s">
        <v>106</v>
      </c>
      <c r="F4" s="36" t="s">
        <v>128</v>
      </c>
      <c r="G4" s="37" t="s">
        <v>165</v>
      </c>
      <c r="H4" s="38" t="s">
        <v>164</v>
      </c>
    </row>
    <row r="5" spans="1:8" ht="15.6" x14ac:dyDescent="0.3">
      <c r="A5" s="16">
        <f>SUBTOTAL(3,$B$2:B5)</f>
        <v>4</v>
      </c>
      <c r="B5" s="39" t="s">
        <v>43</v>
      </c>
      <c r="C5" s="39" t="s">
        <v>45</v>
      </c>
      <c r="D5" s="34" t="s">
        <v>105</v>
      </c>
      <c r="E5" s="35" t="s">
        <v>106</v>
      </c>
      <c r="F5" s="36" t="s">
        <v>130</v>
      </c>
      <c r="G5" s="37"/>
      <c r="H5" s="37"/>
    </row>
    <row r="6" spans="1:8" ht="15.6" x14ac:dyDescent="0.3">
      <c r="A6" s="16">
        <f>SUBTOTAL(3,$B$2:B6)</f>
        <v>5</v>
      </c>
      <c r="B6" s="39" t="s">
        <v>43</v>
      </c>
      <c r="C6" s="39" t="s">
        <v>46</v>
      </c>
      <c r="D6" s="34" t="s">
        <v>105</v>
      </c>
      <c r="E6" s="35" t="s">
        <v>106</v>
      </c>
      <c r="F6" s="36" t="s">
        <v>129</v>
      </c>
      <c r="G6" s="37"/>
      <c r="H6" s="37"/>
    </row>
    <row r="7" spans="1:8" ht="15.6" x14ac:dyDescent="0.3">
      <c r="A7" s="16">
        <f>SUBTOTAL(3,$B$2:B7)</f>
        <v>6</v>
      </c>
      <c r="B7" s="33" t="s">
        <v>7</v>
      </c>
      <c r="C7" s="33" t="s">
        <v>8</v>
      </c>
      <c r="D7" s="34" t="s">
        <v>107</v>
      </c>
      <c r="E7" s="35" t="s">
        <v>108</v>
      </c>
      <c r="F7" s="36" t="s">
        <v>131</v>
      </c>
      <c r="G7" s="37" t="s">
        <v>171</v>
      </c>
      <c r="H7" s="38" t="s">
        <v>164</v>
      </c>
    </row>
    <row r="8" spans="1:8" ht="15.6" x14ac:dyDescent="0.3">
      <c r="A8" s="16">
        <f>SUBTOTAL(3,$B$2:B8)</f>
        <v>7</v>
      </c>
      <c r="B8" s="33" t="s">
        <v>7</v>
      </c>
      <c r="C8" s="33" t="s">
        <v>10</v>
      </c>
      <c r="D8" s="34" t="s">
        <v>107</v>
      </c>
      <c r="E8" s="35" t="s">
        <v>108</v>
      </c>
      <c r="F8" s="36" t="s">
        <v>133</v>
      </c>
      <c r="G8" s="37"/>
      <c r="H8" s="37"/>
    </row>
    <row r="9" spans="1:8" ht="15.6" x14ac:dyDescent="0.3">
      <c r="A9" s="19">
        <f>SUBTOTAL(3,$B$2:B9)</f>
        <v>8</v>
      </c>
      <c r="B9" s="33" t="s">
        <v>12</v>
      </c>
      <c r="C9" s="33" t="s">
        <v>13</v>
      </c>
      <c r="D9" s="34" t="s">
        <v>110</v>
      </c>
      <c r="E9" s="35" t="s">
        <v>109</v>
      </c>
      <c r="F9" s="42" t="s">
        <v>170</v>
      </c>
      <c r="G9" s="37" t="s">
        <v>172</v>
      </c>
      <c r="H9" s="38" t="s">
        <v>164</v>
      </c>
    </row>
    <row r="10" spans="1:8" ht="15.6" x14ac:dyDescent="0.3">
      <c r="A10" s="16">
        <f>SUBTOTAL(3,$B$2:B10)</f>
        <v>9</v>
      </c>
      <c r="B10" s="33" t="s">
        <v>12</v>
      </c>
      <c r="C10" s="39" t="s">
        <v>179</v>
      </c>
      <c r="D10" s="34" t="s">
        <v>110</v>
      </c>
      <c r="E10" s="35" t="s">
        <v>109</v>
      </c>
      <c r="F10" s="36" t="s">
        <v>134</v>
      </c>
      <c r="G10" s="37"/>
      <c r="H10" s="37"/>
    </row>
    <row r="11" spans="1:8" ht="31.2" x14ac:dyDescent="0.3">
      <c r="A11" s="16">
        <f>SUBTOTAL(3,$B$2:B11)</f>
        <v>10</v>
      </c>
      <c r="B11" s="33" t="s">
        <v>4</v>
      </c>
      <c r="C11" s="33" t="s">
        <v>36</v>
      </c>
      <c r="D11" s="34" t="s">
        <v>124</v>
      </c>
      <c r="E11" s="35" t="s">
        <v>132</v>
      </c>
      <c r="F11" s="36" t="s">
        <v>135</v>
      </c>
      <c r="G11" s="37"/>
      <c r="H11" s="37"/>
    </row>
    <row r="12" spans="1:8" ht="15.6" x14ac:dyDescent="0.3">
      <c r="A12" s="16">
        <f>SUBTOTAL(3,$B$2:B12)</f>
        <v>11</v>
      </c>
      <c r="B12" s="39" t="s">
        <v>14</v>
      </c>
      <c r="C12" s="39" t="s">
        <v>15</v>
      </c>
      <c r="D12" s="34" t="s">
        <v>111</v>
      </c>
      <c r="E12" s="35" t="s">
        <v>112</v>
      </c>
      <c r="F12" s="36" t="s">
        <v>136</v>
      </c>
      <c r="G12" s="37" t="s">
        <v>173</v>
      </c>
      <c r="H12" s="38" t="s">
        <v>164</v>
      </c>
    </row>
    <row r="13" spans="1:8" ht="15.6" x14ac:dyDescent="0.3">
      <c r="A13" s="16">
        <f>SUBTOTAL(3,$B$2:B13)</f>
        <v>12</v>
      </c>
      <c r="B13" s="39" t="s">
        <v>14</v>
      </c>
      <c r="C13" s="39" t="s">
        <v>16</v>
      </c>
      <c r="D13" s="34" t="s">
        <v>111</v>
      </c>
      <c r="E13" s="35" t="s">
        <v>112</v>
      </c>
      <c r="F13" s="36" t="s">
        <v>137</v>
      </c>
      <c r="G13" s="37"/>
      <c r="H13" s="37"/>
    </row>
    <row r="14" spans="1:8" ht="15.6" x14ac:dyDescent="0.3">
      <c r="A14" s="16">
        <f>SUBTOTAL(3,$B$2:B14)</f>
        <v>13</v>
      </c>
      <c r="B14" s="39" t="s">
        <v>14</v>
      </c>
      <c r="C14" s="39" t="s">
        <v>17</v>
      </c>
      <c r="D14" s="34" t="s">
        <v>111</v>
      </c>
      <c r="E14" s="35" t="s">
        <v>112</v>
      </c>
      <c r="F14" s="36" t="s">
        <v>138</v>
      </c>
      <c r="G14" s="37"/>
      <c r="H14" s="37"/>
    </row>
    <row r="15" spans="1:8" ht="15.6" x14ac:dyDescent="0.3">
      <c r="A15" s="16">
        <f>SUBTOTAL(3,$B$2:B15)</f>
        <v>14</v>
      </c>
      <c r="B15" s="39" t="s">
        <v>14</v>
      </c>
      <c r="C15" s="39" t="s">
        <v>18</v>
      </c>
      <c r="D15" s="34" t="s">
        <v>111</v>
      </c>
      <c r="E15" s="35" t="s">
        <v>112</v>
      </c>
      <c r="F15" s="36" t="s">
        <v>139</v>
      </c>
      <c r="G15" s="37"/>
      <c r="H15" s="37"/>
    </row>
    <row r="16" spans="1:8" ht="15.6" x14ac:dyDescent="0.3">
      <c r="A16" s="32">
        <f>SUBTOTAL(3,$B$2:B16)</f>
        <v>15</v>
      </c>
      <c r="B16" s="33" t="s">
        <v>80</v>
      </c>
      <c r="C16" s="33" t="s">
        <v>9</v>
      </c>
      <c r="D16" s="34" t="s">
        <v>113</v>
      </c>
      <c r="E16" s="35" t="s">
        <v>114</v>
      </c>
      <c r="F16" s="36" t="s">
        <v>140</v>
      </c>
      <c r="G16" s="37" t="s">
        <v>174</v>
      </c>
      <c r="H16" s="38" t="s">
        <v>164</v>
      </c>
    </row>
    <row r="17" spans="1:8" ht="15.6" x14ac:dyDescent="0.3">
      <c r="A17" s="32">
        <f>SUBTOTAL(3,$B$2:B17)</f>
        <v>16</v>
      </c>
      <c r="B17" s="33" t="s">
        <v>80</v>
      </c>
      <c r="C17" s="33" t="s">
        <v>11</v>
      </c>
      <c r="D17" s="34" t="s">
        <v>113</v>
      </c>
      <c r="E17" s="35" t="s">
        <v>114</v>
      </c>
      <c r="F17" s="36" t="s">
        <v>141</v>
      </c>
      <c r="G17" s="37"/>
      <c r="H17" s="37"/>
    </row>
    <row r="18" spans="1:8" ht="27.6" x14ac:dyDescent="0.3">
      <c r="A18" s="16">
        <f>SUBTOTAL(3,$B$2:B18)</f>
        <v>17</v>
      </c>
      <c r="B18" s="39" t="s">
        <v>37</v>
      </c>
      <c r="C18" s="33" t="s">
        <v>38</v>
      </c>
      <c r="D18" s="40" t="s">
        <v>115</v>
      </c>
      <c r="E18" s="41" t="s">
        <v>116</v>
      </c>
      <c r="F18" s="36" t="s">
        <v>142</v>
      </c>
      <c r="G18" s="37"/>
      <c r="H18" s="37"/>
    </row>
    <row r="19" spans="1:8" ht="27.6" x14ac:dyDescent="0.3">
      <c r="A19" s="16">
        <f>SUBTOTAL(3,$B$2:B19)</f>
        <v>18</v>
      </c>
      <c r="B19" s="39" t="s">
        <v>37</v>
      </c>
      <c r="C19" s="39" t="s">
        <v>39</v>
      </c>
      <c r="D19" s="40" t="s">
        <v>115</v>
      </c>
      <c r="E19" s="41" t="s">
        <v>116</v>
      </c>
      <c r="F19" s="36" t="s">
        <v>143</v>
      </c>
      <c r="G19" s="37" t="s">
        <v>175</v>
      </c>
      <c r="H19" s="38" t="s">
        <v>164</v>
      </c>
    </row>
    <row r="20" spans="1:8" ht="27.6" x14ac:dyDescent="0.3">
      <c r="A20" s="16">
        <f>SUBTOTAL(3,$B$2:B20)</f>
        <v>19</v>
      </c>
      <c r="B20" s="39" t="s">
        <v>37</v>
      </c>
      <c r="C20" s="39" t="s">
        <v>40</v>
      </c>
      <c r="D20" s="40" t="s">
        <v>115</v>
      </c>
      <c r="E20" s="41" t="s">
        <v>116</v>
      </c>
      <c r="F20" s="36" t="s">
        <v>144</v>
      </c>
      <c r="G20" s="37"/>
      <c r="H20" s="37"/>
    </row>
    <row r="21" spans="1:8" ht="27.6" x14ac:dyDescent="0.3">
      <c r="A21" s="16">
        <f>SUBTOTAL(3,$B$2:B21)</f>
        <v>20</v>
      </c>
      <c r="B21" s="39" t="s">
        <v>37</v>
      </c>
      <c r="C21" s="39" t="s">
        <v>41</v>
      </c>
      <c r="D21" s="40" t="s">
        <v>115</v>
      </c>
      <c r="E21" s="41" t="s">
        <v>116</v>
      </c>
      <c r="F21" s="36" t="s">
        <v>145</v>
      </c>
      <c r="G21" s="37"/>
      <c r="H21" s="37"/>
    </row>
    <row r="22" spans="1:8" ht="27.6" x14ac:dyDescent="0.3">
      <c r="A22" s="16">
        <f>SUBTOTAL(3,$B$2:B22)</f>
        <v>21</v>
      </c>
      <c r="B22" s="39" t="s">
        <v>37</v>
      </c>
      <c r="C22" s="39" t="s">
        <v>42</v>
      </c>
      <c r="D22" s="40" t="s">
        <v>115</v>
      </c>
      <c r="E22" s="41" t="s">
        <v>116</v>
      </c>
      <c r="F22" s="36" t="s">
        <v>146</v>
      </c>
      <c r="G22" s="37"/>
      <c r="H22" s="37"/>
    </row>
    <row r="23" spans="1:8" ht="15.6" x14ac:dyDescent="0.3">
      <c r="A23" s="32">
        <f>SUBTOTAL(3,$B$2:B23)</f>
        <v>22</v>
      </c>
      <c r="B23" s="33" t="s">
        <v>47</v>
      </c>
      <c r="C23" s="33" t="s">
        <v>48</v>
      </c>
      <c r="D23" s="40" t="s">
        <v>118</v>
      </c>
      <c r="E23" s="41" t="s">
        <v>117</v>
      </c>
      <c r="F23" s="42" t="s">
        <v>147</v>
      </c>
      <c r="G23" s="37" t="s">
        <v>176</v>
      </c>
      <c r="H23" s="38" t="s">
        <v>164</v>
      </c>
    </row>
    <row r="24" spans="1:8" ht="15.6" x14ac:dyDescent="0.3">
      <c r="A24" s="32">
        <f>SUBTOTAL(3,$B$2:B24)</f>
        <v>23</v>
      </c>
      <c r="B24" s="33" t="s">
        <v>47</v>
      </c>
      <c r="C24" s="33" t="s">
        <v>49</v>
      </c>
      <c r="D24" s="40" t="s">
        <v>118</v>
      </c>
      <c r="E24" s="41" t="s">
        <v>117</v>
      </c>
      <c r="F24" s="42" t="s">
        <v>148</v>
      </c>
      <c r="G24" s="37"/>
      <c r="H24" s="37"/>
    </row>
    <row r="25" spans="1:8" ht="15.6" x14ac:dyDescent="0.3">
      <c r="A25" s="32">
        <f>SUBTOTAL(3,$B$2:B25)</f>
        <v>24</v>
      </c>
      <c r="B25" s="33" t="s">
        <v>47</v>
      </c>
      <c r="C25" s="33" t="s">
        <v>50</v>
      </c>
      <c r="D25" s="40" t="s">
        <v>118</v>
      </c>
      <c r="E25" s="41" t="s">
        <v>117</v>
      </c>
      <c r="F25" s="42" t="s">
        <v>149</v>
      </c>
      <c r="G25" s="37"/>
      <c r="H25" s="37"/>
    </row>
    <row r="26" spans="1:8" ht="15.6" x14ac:dyDescent="0.3">
      <c r="A26" s="32">
        <f>SUBTOTAL(3,$B$2:B26)</f>
        <v>25</v>
      </c>
      <c r="B26" s="33" t="s">
        <v>47</v>
      </c>
      <c r="C26" s="33" t="s">
        <v>51</v>
      </c>
      <c r="D26" s="40" t="s">
        <v>118</v>
      </c>
      <c r="E26" s="41" t="s">
        <v>117</v>
      </c>
      <c r="F26" s="42" t="s">
        <v>150</v>
      </c>
      <c r="G26" s="37"/>
      <c r="H26" s="37"/>
    </row>
    <row r="27" spans="1:8" ht="15.6" x14ac:dyDescent="0.3">
      <c r="A27" s="16">
        <f>SUBTOTAL(3,$B$2:B27)</f>
        <v>26</v>
      </c>
      <c r="B27" s="17" t="s">
        <v>19</v>
      </c>
      <c r="C27" s="17" t="s">
        <v>21</v>
      </c>
      <c r="D27" s="20" t="s">
        <v>119</v>
      </c>
      <c r="E27" s="28" t="s">
        <v>120</v>
      </c>
      <c r="F27" s="23" t="s">
        <v>151</v>
      </c>
      <c r="G27" s="29"/>
      <c r="H27" s="29"/>
    </row>
    <row r="28" spans="1:8" ht="15.6" x14ac:dyDescent="0.3">
      <c r="A28" s="16">
        <f>SUBTOTAL(3,$B$2:B28)</f>
        <v>27</v>
      </c>
      <c r="B28" s="17" t="s">
        <v>19</v>
      </c>
      <c r="C28" s="17" t="s">
        <v>22</v>
      </c>
      <c r="D28" s="20" t="s">
        <v>119</v>
      </c>
      <c r="E28" s="28" t="s">
        <v>120</v>
      </c>
      <c r="F28" s="23" t="s">
        <v>152</v>
      </c>
      <c r="G28" s="29" t="s">
        <v>177</v>
      </c>
      <c r="H28" s="30" t="s">
        <v>164</v>
      </c>
    </row>
    <row r="29" spans="1:8" ht="15.6" x14ac:dyDescent="0.3">
      <c r="A29" s="16">
        <f>SUBTOTAL(3,$B$2:B29)</f>
        <v>28</v>
      </c>
      <c r="B29" s="17" t="s">
        <v>19</v>
      </c>
      <c r="C29" s="17" t="s">
        <v>20</v>
      </c>
      <c r="D29" s="20" t="s">
        <v>119</v>
      </c>
      <c r="E29" s="28" t="s">
        <v>120</v>
      </c>
      <c r="F29" s="23" t="s">
        <v>153</v>
      </c>
      <c r="G29" s="29"/>
      <c r="H29" s="29"/>
    </row>
    <row r="30" spans="1:8" ht="15.6" x14ac:dyDescent="0.3">
      <c r="A30" s="32">
        <f>SUBTOTAL(3,$B$2:B30)</f>
        <v>29</v>
      </c>
      <c r="B30" s="39" t="s">
        <v>69</v>
      </c>
      <c r="C30" s="33" t="s">
        <v>70</v>
      </c>
      <c r="D30" s="40" t="s">
        <v>122</v>
      </c>
      <c r="E30" s="41" t="s">
        <v>121</v>
      </c>
      <c r="F30" s="42" t="s">
        <v>154</v>
      </c>
      <c r="G30" s="37" t="s">
        <v>166</v>
      </c>
      <c r="H30" s="38" t="s">
        <v>164</v>
      </c>
    </row>
    <row r="31" spans="1:8" ht="15.6" x14ac:dyDescent="0.3">
      <c r="A31" s="32">
        <f>SUBTOTAL(3,$B$2:B31)</f>
        <v>30</v>
      </c>
      <c r="B31" s="39" t="s">
        <v>69</v>
      </c>
      <c r="C31" s="39" t="s">
        <v>71</v>
      </c>
      <c r="D31" s="40" t="s">
        <v>122</v>
      </c>
      <c r="E31" s="41" t="s">
        <v>121</v>
      </c>
      <c r="F31" s="42" t="s">
        <v>155</v>
      </c>
      <c r="G31" s="37"/>
      <c r="H31" s="37"/>
    </row>
    <row r="32" spans="1:8" ht="15.6" x14ac:dyDescent="0.3">
      <c r="A32" s="32">
        <f>SUBTOTAL(3,$B$2:B32)</f>
        <v>31</v>
      </c>
      <c r="B32" s="39" t="s">
        <v>69</v>
      </c>
      <c r="C32" s="39" t="s">
        <v>72</v>
      </c>
      <c r="D32" s="40" t="s">
        <v>122</v>
      </c>
      <c r="E32" s="41" t="s">
        <v>121</v>
      </c>
      <c r="F32" s="42" t="s">
        <v>156</v>
      </c>
      <c r="G32" s="37"/>
      <c r="H32" s="37"/>
    </row>
    <row r="33" spans="1:8" ht="15.6" x14ac:dyDescent="0.3">
      <c r="A33" s="32">
        <f>SUBTOTAL(3,$B$2:B33)</f>
        <v>32</v>
      </c>
      <c r="B33" s="39" t="s">
        <v>69</v>
      </c>
      <c r="C33" s="39" t="s">
        <v>65</v>
      </c>
      <c r="D33" s="40" t="s">
        <v>122</v>
      </c>
      <c r="E33" s="41" t="s">
        <v>121</v>
      </c>
      <c r="F33" s="42" t="s">
        <v>157</v>
      </c>
      <c r="G33" s="37"/>
      <c r="H33" s="37"/>
    </row>
    <row r="34" spans="1:8" ht="15.6" x14ac:dyDescent="0.3">
      <c r="A34" s="32">
        <f>SUBTOTAL(3,$B$2:B34)</f>
        <v>33</v>
      </c>
      <c r="B34" s="39" t="s">
        <v>69</v>
      </c>
      <c r="C34" s="39" t="s">
        <v>73</v>
      </c>
      <c r="D34" s="40" t="s">
        <v>122</v>
      </c>
      <c r="E34" s="41" t="s">
        <v>121</v>
      </c>
      <c r="F34" s="42" t="s">
        <v>158</v>
      </c>
      <c r="G34" s="37"/>
      <c r="H34" s="37"/>
    </row>
    <row r="35" spans="1:8" ht="15.6" x14ac:dyDescent="0.3">
      <c r="A35" s="77" t="s">
        <v>100</v>
      </c>
      <c r="B35" s="77"/>
      <c r="C35" s="77"/>
      <c r="D35" s="15"/>
      <c r="E35" s="26"/>
      <c r="F35" s="23"/>
      <c r="G35" s="29"/>
      <c r="H35" s="29"/>
    </row>
    <row r="36" spans="1:8" ht="15.6" x14ac:dyDescent="0.3">
      <c r="A36" s="16">
        <f>SUBTOTAL(3,$B$2:B36)</f>
        <v>34</v>
      </c>
      <c r="B36" s="17" t="s">
        <v>101</v>
      </c>
      <c r="C36" s="17" t="s">
        <v>83</v>
      </c>
      <c r="D36" s="18"/>
      <c r="E36" s="23"/>
      <c r="F36" s="23"/>
      <c r="G36" s="29" t="s">
        <v>178</v>
      </c>
      <c r="H36" s="30" t="s">
        <v>164</v>
      </c>
    </row>
    <row r="37" spans="1:8" ht="15.6" x14ac:dyDescent="0.3">
      <c r="A37" s="16">
        <f>SUBTOTAL(3,$B$2:B37)</f>
        <v>35</v>
      </c>
      <c r="B37" s="17" t="s">
        <v>12</v>
      </c>
      <c r="C37" s="17" t="s">
        <v>85</v>
      </c>
      <c r="D37" s="18"/>
      <c r="E37" s="23"/>
      <c r="F37" s="23"/>
      <c r="G37" s="29"/>
      <c r="H37" s="29"/>
    </row>
    <row r="38" spans="1:8" ht="31.2" x14ac:dyDescent="0.3">
      <c r="A38" s="16">
        <f>SUBTOTAL(3,$B$2:B38)</f>
        <v>36</v>
      </c>
      <c r="B38" s="17" t="s">
        <v>102</v>
      </c>
      <c r="C38" s="17" t="s">
        <v>87</v>
      </c>
      <c r="D38" s="18"/>
      <c r="E38" s="23"/>
      <c r="F38" s="23"/>
      <c r="G38" s="29"/>
      <c r="H38" s="29"/>
    </row>
    <row r="39" spans="1:8" ht="31.2" x14ac:dyDescent="0.3">
      <c r="A39" s="16">
        <f>SUBTOTAL(3,$B$2:B39)</f>
        <v>37</v>
      </c>
      <c r="B39" s="17" t="s">
        <v>167</v>
      </c>
      <c r="C39" s="17" t="s">
        <v>168</v>
      </c>
      <c r="D39" s="18"/>
      <c r="E39" s="23"/>
      <c r="F39" s="23" t="s">
        <v>169</v>
      </c>
      <c r="G39" s="29"/>
      <c r="H39" s="29"/>
    </row>
  </sheetData>
  <mergeCells count="1">
    <mergeCell ref="A35:C35"/>
  </mergeCells>
  <hyperlinks>
    <hyperlink ref="H2" r:id="rId1" xr:uid="{00000000-0004-0000-0200-000000000000}"/>
    <hyperlink ref="H4" r:id="rId2" xr:uid="{00000000-0004-0000-0200-000001000000}"/>
    <hyperlink ref="H7" r:id="rId3" xr:uid="{00000000-0004-0000-0200-000002000000}"/>
    <hyperlink ref="H9" r:id="rId4" xr:uid="{00000000-0004-0000-0200-000003000000}"/>
    <hyperlink ref="H12" r:id="rId5" xr:uid="{00000000-0004-0000-0200-000004000000}"/>
    <hyperlink ref="H16" r:id="rId6" xr:uid="{00000000-0004-0000-0200-000005000000}"/>
    <hyperlink ref="H19" r:id="rId7" xr:uid="{00000000-0004-0000-0200-000006000000}"/>
    <hyperlink ref="H23" r:id="rId8" xr:uid="{00000000-0004-0000-0200-000007000000}"/>
    <hyperlink ref="H28" r:id="rId9" xr:uid="{00000000-0004-0000-0200-000008000000}"/>
    <hyperlink ref="H30" r:id="rId10" xr:uid="{00000000-0004-0000-0200-000009000000}"/>
    <hyperlink ref="H36" r:id="rId11" xr:uid="{00000000-0004-0000-0200-00000A000000}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 VP</vt:lpstr>
      <vt:lpstr>VP NewGen</vt:lpstr>
      <vt:lpstr>CTTV</vt:lpstr>
    </vt:vector>
  </TitlesOfParts>
  <Company>BaoViet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HDDV-HTDP-AnhTT</dc:creator>
  <cp:lastModifiedBy>Thành Đàm</cp:lastModifiedBy>
  <cp:lastPrinted>2025-11-28T04:02:31Z</cp:lastPrinted>
  <dcterms:created xsi:type="dcterms:W3CDTF">2023-09-06T02:00:10Z</dcterms:created>
  <dcterms:modified xsi:type="dcterms:W3CDTF">2026-06-02T08:47:12Z</dcterms:modified>
</cp:coreProperties>
</file>